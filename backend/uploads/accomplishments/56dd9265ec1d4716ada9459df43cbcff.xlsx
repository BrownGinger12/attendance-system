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d460d290d85a7d6/Desktop/"/>
    </mc:Choice>
  </mc:AlternateContent>
  <xr:revisionPtr revIDLastSave="7" documentId="11_F8EE070466DCAE36D38AFEFD0555887B92833968" xr6:coauthVersionLast="47" xr6:coauthVersionMax="47" xr10:uidLastSave="{8CEE9542-F85A-4993-84FD-A69FC1AEB9B5}"/>
  <bookViews>
    <workbookView xWindow="-120" yWindow="-120" windowWidth="29040" windowHeight="15720" firstSheet="9" activeTab="14" xr2:uid="{00000000-000D-0000-FFFF-FFFF00000000}"/>
  </bookViews>
  <sheets>
    <sheet name="ANDRES BONIFACIO NHS" sheetId="1" r:id="rId1"/>
    <sheet name="BANQUEROHAN NHS" sheetId="2" r:id="rId2"/>
    <sheet name="BURGOS NHS" sheetId="3" r:id="rId3"/>
    <sheet name="CADIZ VIEJO NHS" sheetId="4" r:id="rId4"/>
    <sheet name="CADUHAAN NHS" sheetId="5" r:id="rId5"/>
    <sheet name="CNHS-LUNA EXT HS" sheetId="6" r:id="rId6"/>
    <sheet name="CNHS-TAGBANON EXT HS" sheetId="7" r:id="rId7"/>
    <sheet name="DR. VFGMNHS" sheetId="8" r:id="rId8"/>
    <sheet name="DR. VFGMNHS-DAGA EXT HS" sheetId="9" r:id="rId9"/>
    <sheet name="JERUSALEM NHS" sheetId="10" r:id="rId10"/>
    <sheet name="MABINI NHS" sheetId="11" r:id="rId11"/>
    <sheet name="ALIMATOC FARM SCHOOL" sheetId="12" r:id="rId12"/>
    <sheet name="SPED HS" sheetId="13" r:id="rId13"/>
    <sheet name="SICABA NHS" sheetId="14" r:id="rId14"/>
    <sheet name="TIGLAWIGAN NHS" sheetId="15" r:id="rId15"/>
    <sheet name="TNHS-MAGSAYSAY EXT HS" sheetId="16" r:id="rId16"/>
    <sheet name="VILLACIN NHS" sheetId="17" r:id="rId17"/>
    <sheet name="VILLACIN NHS-SEWAHON EXT HS" sheetId="18" r:id="rId18"/>
    <sheet name="Sheet1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2" l="1"/>
  <c r="H26" i="12"/>
  <c r="H27" i="12"/>
  <c r="H28" i="12"/>
  <c r="H29" i="12"/>
  <c r="H30" i="12"/>
  <c r="H31" i="12"/>
  <c r="H32" i="12"/>
  <c r="H33" i="12"/>
  <c r="H34" i="12"/>
  <c r="H35" i="12"/>
  <c r="H36" i="12"/>
  <c r="H37" i="12"/>
  <c r="H27" i="11"/>
  <c r="G503" i="18"/>
  <c r="G502" i="18"/>
  <c r="G501" i="18"/>
  <c r="G500" i="18"/>
  <c r="G499" i="18"/>
  <c r="G498" i="18"/>
  <c r="G497" i="18"/>
  <c r="G496" i="18"/>
  <c r="G495" i="18"/>
  <c r="G494" i="18"/>
  <c r="G493" i="18"/>
  <c r="G492" i="18"/>
  <c r="G491" i="18"/>
  <c r="G490" i="18"/>
  <c r="G489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467" i="18"/>
  <c r="G466" i="18"/>
  <c r="G465" i="18"/>
  <c r="G464" i="18"/>
  <c r="G463" i="18"/>
  <c r="G462" i="18"/>
  <c r="G461" i="18"/>
  <c r="G460" i="18"/>
  <c r="G459" i="18"/>
  <c r="G458" i="18"/>
  <c r="G457" i="18"/>
  <c r="G456" i="18"/>
  <c r="G455" i="18"/>
  <c r="G454" i="18"/>
  <c r="G453" i="18"/>
  <c r="G452" i="18"/>
  <c r="G451" i="18"/>
  <c r="G450" i="18"/>
  <c r="G449" i="18"/>
  <c r="G448" i="18"/>
  <c r="G447" i="18"/>
  <c r="G446" i="18"/>
  <c r="G445" i="18"/>
  <c r="G444" i="18"/>
  <c r="G443" i="18"/>
  <c r="G442" i="18"/>
  <c r="G441" i="18"/>
  <c r="G440" i="18"/>
  <c r="G439" i="18"/>
  <c r="G438" i="18"/>
  <c r="G437" i="18"/>
  <c r="G436" i="18"/>
  <c r="G435" i="18"/>
  <c r="G434" i="18"/>
  <c r="G433" i="18"/>
  <c r="G432" i="18"/>
  <c r="G431" i="18"/>
  <c r="G430" i="18"/>
  <c r="G429" i="18"/>
  <c r="G428" i="18"/>
  <c r="G427" i="18"/>
  <c r="G426" i="18"/>
  <c r="G425" i="18"/>
  <c r="G424" i="18"/>
  <c r="G423" i="18"/>
  <c r="G422" i="18"/>
  <c r="G421" i="18"/>
  <c r="G420" i="18"/>
  <c r="G419" i="18"/>
  <c r="G418" i="18"/>
  <c r="G417" i="18"/>
  <c r="G416" i="18"/>
  <c r="G415" i="18"/>
  <c r="G414" i="18"/>
  <c r="G413" i="18"/>
  <c r="G412" i="18"/>
  <c r="G411" i="18"/>
  <c r="G410" i="18"/>
  <c r="G409" i="18"/>
  <c r="G408" i="18"/>
  <c r="G407" i="18"/>
  <c r="G406" i="18"/>
  <c r="G405" i="18"/>
  <c r="G404" i="18"/>
  <c r="G403" i="18"/>
  <c r="G402" i="18"/>
  <c r="G401" i="18"/>
  <c r="G400" i="18"/>
  <c r="G399" i="18"/>
  <c r="G398" i="18"/>
  <c r="G397" i="18"/>
  <c r="G396" i="18"/>
  <c r="G395" i="18"/>
  <c r="G394" i="18"/>
  <c r="G393" i="18"/>
  <c r="G392" i="18"/>
  <c r="G391" i="18"/>
  <c r="G390" i="18"/>
  <c r="G389" i="18"/>
  <c r="G388" i="18"/>
  <c r="G387" i="18"/>
  <c r="G386" i="18"/>
  <c r="G385" i="18"/>
  <c r="G384" i="18"/>
  <c r="G383" i="18"/>
  <c r="G382" i="18"/>
  <c r="G381" i="18"/>
  <c r="G380" i="18"/>
  <c r="G379" i="18"/>
  <c r="G378" i="18"/>
  <c r="G377" i="18"/>
  <c r="G376" i="18"/>
  <c r="G375" i="18"/>
  <c r="G374" i="18"/>
  <c r="G373" i="18"/>
  <c r="G372" i="18"/>
  <c r="G371" i="18"/>
  <c r="G370" i="18"/>
  <c r="G369" i="18"/>
  <c r="G368" i="18"/>
  <c r="G367" i="18"/>
  <c r="G366" i="18"/>
  <c r="G365" i="18"/>
  <c r="G364" i="18"/>
  <c r="G363" i="18"/>
  <c r="G362" i="18"/>
  <c r="G361" i="18"/>
  <c r="G360" i="18"/>
  <c r="G359" i="18"/>
  <c r="G358" i="18"/>
  <c r="G357" i="18"/>
  <c r="G356" i="18"/>
  <c r="G355" i="18"/>
  <c r="G354" i="18"/>
  <c r="G353" i="18"/>
  <c r="G352" i="18"/>
  <c r="G351" i="18"/>
  <c r="G350" i="18"/>
  <c r="G349" i="18"/>
  <c r="G348" i="18"/>
  <c r="G347" i="18"/>
  <c r="G346" i="18"/>
  <c r="G345" i="18"/>
  <c r="G344" i="18"/>
  <c r="G343" i="18"/>
  <c r="G342" i="18"/>
  <c r="G341" i="18"/>
  <c r="G340" i="18"/>
  <c r="G339" i="18"/>
  <c r="G338" i="18"/>
  <c r="G337" i="18"/>
  <c r="G336" i="18"/>
  <c r="G335" i="18"/>
  <c r="G334" i="18"/>
  <c r="G333" i="18"/>
  <c r="G332" i="18"/>
  <c r="G331" i="18"/>
  <c r="G330" i="18"/>
  <c r="G329" i="18"/>
  <c r="G328" i="18"/>
  <c r="G327" i="18"/>
  <c r="G326" i="18"/>
  <c r="G325" i="18"/>
  <c r="G324" i="18"/>
  <c r="G323" i="18"/>
  <c r="G322" i="18"/>
  <c r="G321" i="18"/>
  <c r="G320" i="18"/>
  <c r="G319" i="18"/>
  <c r="G318" i="18"/>
  <c r="G317" i="18"/>
  <c r="G316" i="18"/>
  <c r="G315" i="18"/>
  <c r="G314" i="18"/>
  <c r="G313" i="18"/>
  <c r="G312" i="18"/>
  <c r="G311" i="18"/>
  <c r="G310" i="18"/>
  <c r="G309" i="18"/>
  <c r="G308" i="18"/>
  <c r="G307" i="18"/>
  <c r="G306" i="18"/>
  <c r="G305" i="18"/>
  <c r="G304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G290" i="18"/>
  <c r="G289" i="18"/>
  <c r="G288" i="18"/>
  <c r="G287" i="18"/>
  <c r="G286" i="18"/>
  <c r="G285" i="18"/>
  <c r="G284" i="18"/>
  <c r="G283" i="18"/>
  <c r="G282" i="18"/>
  <c r="G281" i="18"/>
  <c r="G280" i="18"/>
  <c r="G279" i="18"/>
  <c r="G278" i="18"/>
  <c r="G277" i="18"/>
  <c r="G276" i="18"/>
  <c r="G275" i="18"/>
  <c r="G274" i="18"/>
  <c r="G273" i="18"/>
  <c r="G272" i="18"/>
  <c r="G271" i="18"/>
  <c r="G270" i="18"/>
  <c r="G269" i="18"/>
  <c r="G268" i="18"/>
  <c r="G267" i="18"/>
  <c r="G266" i="18"/>
  <c r="G265" i="18"/>
  <c r="G264" i="18"/>
  <c r="G263" i="18"/>
  <c r="G262" i="18"/>
  <c r="G261" i="18"/>
  <c r="G260" i="18"/>
  <c r="G259" i="18"/>
  <c r="G258" i="18"/>
  <c r="G257" i="18"/>
  <c r="G256" i="18"/>
  <c r="G255" i="18"/>
  <c r="G254" i="18"/>
  <c r="G253" i="18"/>
  <c r="G252" i="18"/>
  <c r="G251" i="18"/>
  <c r="G250" i="18"/>
  <c r="G249" i="18"/>
  <c r="G248" i="18"/>
  <c r="G247" i="18"/>
  <c r="G246" i="18"/>
  <c r="G245" i="18"/>
  <c r="G244" i="18"/>
  <c r="G243" i="18"/>
  <c r="G242" i="18"/>
  <c r="G241" i="18"/>
  <c r="G240" i="18"/>
  <c r="G239" i="18"/>
  <c r="G238" i="18"/>
  <c r="G237" i="18"/>
  <c r="G236" i="18"/>
  <c r="G235" i="18"/>
  <c r="G234" i="18"/>
  <c r="G233" i="18"/>
  <c r="G232" i="18"/>
  <c r="G231" i="18"/>
  <c r="G230" i="18"/>
  <c r="G229" i="18"/>
  <c r="G228" i="18"/>
  <c r="G227" i="18"/>
  <c r="G226" i="18"/>
  <c r="G225" i="18"/>
  <c r="G224" i="18"/>
  <c r="G223" i="18"/>
  <c r="G222" i="18"/>
  <c r="G221" i="18"/>
  <c r="G220" i="18"/>
  <c r="G219" i="18"/>
  <c r="G218" i="18"/>
  <c r="G217" i="18"/>
  <c r="G216" i="18"/>
  <c r="G215" i="18"/>
  <c r="G214" i="18"/>
  <c r="G213" i="18"/>
  <c r="G212" i="18"/>
  <c r="G211" i="18"/>
  <c r="G210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H27" i="18"/>
  <c r="G27" i="18"/>
  <c r="H26" i="18"/>
  <c r="G26" i="18"/>
  <c r="H25" i="18"/>
  <c r="G25" i="18"/>
  <c r="H24" i="18"/>
  <c r="G24" i="18"/>
  <c r="H23" i="18"/>
  <c r="G23" i="18"/>
  <c r="H22" i="18"/>
  <c r="G22" i="18"/>
  <c r="H21" i="18"/>
  <c r="G21" i="18"/>
  <c r="H20" i="18"/>
  <c r="G20" i="18"/>
  <c r="H19" i="18"/>
  <c r="G19" i="18"/>
  <c r="H18" i="18"/>
  <c r="G18" i="18"/>
  <c r="H17" i="18"/>
  <c r="G17" i="18"/>
  <c r="H16" i="18"/>
  <c r="G16" i="18"/>
  <c r="H15" i="18"/>
  <c r="G15" i="18"/>
  <c r="H14" i="18"/>
  <c r="G14" i="18"/>
  <c r="H13" i="18"/>
  <c r="G13" i="18"/>
  <c r="H12" i="18"/>
  <c r="G12" i="18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503" i="16"/>
  <c r="G502" i="16"/>
  <c r="G501" i="16"/>
  <c r="G500" i="16"/>
  <c r="G499" i="16"/>
  <c r="G498" i="16"/>
  <c r="G497" i="16"/>
  <c r="G496" i="16"/>
  <c r="G495" i="16"/>
  <c r="G494" i="16"/>
  <c r="G493" i="16"/>
  <c r="G492" i="16"/>
  <c r="G491" i="16"/>
  <c r="G490" i="16"/>
  <c r="G489" i="16"/>
  <c r="G488" i="16"/>
  <c r="G487" i="16"/>
  <c r="G486" i="16"/>
  <c r="G485" i="16"/>
  <c r="G484" i="16"/>
  <c r="G483" i="16"/>
  <c r="G482" i="16"/>
  <c r="G481" i="16"/>
  <c r="G480" i="16"/>
  <c r="G479" i="16"/>
  <c r="G478" i="16"/>
  <c r="G477" i="16"/>
  <c r="G476" i="16"/>
  <c r="G475" i="16"/>
  <c r="G474" i="16"/>
  <c r="G473" i="16"/>
  <c r="G472" i="16"/>
  <c r="G471" i="16"/>
  <c r="G470" i="16"/>
  <c r="G469" i="16"/>
  <c r="G468" i="16"/>
  <c r="G467" i="16"/>
  <c r="G466" i="16"/>
  <c r="G465" i="16"/>
  <c r="G464" i="16"/>
  <c r="G463" i="16"/>
  <c r="G462" i="16"/>
  <c r="G461" i="16"/>
  <c r="G460" i="16"/>
  <c r="G459" i="16"/>
  <c r="G458" i="16"/>
  <c r="G457" i="16"/>
  <c r="G456" i="16"/>
  <c r="G455" i="16"/>
  <c r="G454" i="16"/>
  <c r="G453" i="16"/>
  <c r="G452" i="16"/>
  <c r="G451" i="16"/>
  <c r="G450" i="16"/>
  <c r="G449" i="16"/>
  <c r="G448" i="16"/>
  <c r="G447" i="16"/>
  <c r="G446" i="16"/>
  <c r="G445" i="16"/>
  <c r="G444" i="16"/>
  <c r="G443" i="16"/>
  <c r="G442" i="16"/>
  <c r="G441" i="16"/>
  <c r="G440" i="16"/>
  <c r="G439" i="16"/>
  <c r="G438" i="16"/>
  <c r="G437" i="16"/>
  <c r="G436" i="16"/>
  <c r="G435" i="16"/>
  <c r="G434" i="16"/>
  <c r="G433" i="16"/>
  <c r="G432" i="16"/>
  <c r="G431" i="16"/>
  <c r="G430" i="16"/>
  <c r="G429" i="16"/>
  <c r="G428" i="16"/>
  <c r="G427" i="16"/>
  <c r="G426" i="16"/>
  <c r="G425" i="16"/>
  <c r="G424" i="16"/>
  <c r="G423" i="16"/>
  <c r="G422" i="16"/>
  <c r="G421" i="16"/>
  <c r="G420" i="16"/>
  <c r="G419" i="16"/>
  <c r="G418" i="16"/>
  <c r="G417" i="16"/>
  <c r="G416" i="16"/>
  <c r="G415" i="16"/>
  <c r="G414" i="16"/>
  <c r="G413" i="16"/>
  <c r="G412" i="16"/>
  <c r="G411" i="16"/>
  <c r="G410" i="16"/>
  <c r="G409" i="16"/>
  <c r="G408" i="16"/>
  <c r="G407" i="16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H53" i="16"/>
  <c r="G53" i="16"/>
  <c r="H52" i="16"/>
  <c r="G52" i="16"/>
  <c r="H51" i="16"/>
  <c r="G51" i="16"/>
  <c r="H50" i="16"/>
  <c r="G50" i="16"/>
  <c r="H49" i="16"/>
  <c r="G49" i="16"/>
  <c r="H48" i="16"/>
  <c r="G48" i="16"/>
  <c r="H47" i="16"/>
  <c r="G47" i="16"/>
  <c r="H46" i="16"/>
  <c r="G46" i="16"/>
  <c r="H45" i="16"/>
  <c r="G45" i="16"/>
  <c r="H44" i="16"/>
  <c r="G44" i="16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G23" i="16"/>
  <c r="H22" i="16"/>
  <c r="G22" i="16"/>
  <c r="H21" i="16"/>
  <c r="G21" i="16"/>
  <c r="H20" i="16"/>
  <c r="G20" i="16"/>
  <c r="H19" i="16"/>
  <c r="G19" i="16"/>
  <c r="H18" i="16"/>
  <c r="G18" i="16"/>
  <c r="H17" i="16"/>
  <c r="G17" i="16"/>
  <c r="H16" i="16"/>
  <c r="G16" i="16"/>
  <c r="H15" i="16"/>
  <c r="G15" i="16"/>
  <c r="H14" i="16"/>
  <c r="G14" i="16"/>
  <c r="H13" i="16"/>
  <c r="G13" i="16"/>
  <c r="H12" i="16"/>
  <c r="G12" i="16"/>
  <c r="H11" i="16"/>
  <c r="G11" i="16"/>
  <c r="H10" i="16"/>
  <c r="G10" i="16"/>
  <c r="H9" i="16"/>
  <c r="G9" i="16"/>
  <c r="H8" i="16"/>
  <c r="G8" i="16"/>
  <c r="H7" i="16"/>
  <c r="G7" i="16"/>
  <c r="H6" i="16"/>
  <c r="G6" i="16"/>
  <c r="H5" i="16"/>
  <c r="G5" i="16"/>
  <c r="H4" i="16"/>
  <c r="G4" i="16"/>
  <c r="G503" i="15"/>
  <c r="G502" i="15"/>
  <c r="G501" i="15"/>
  <c r="G500" i="15"/>
  <c r="G499" i="15"/>
  <c r="G498" i="15"/>
  <c r="G497" i="15"/>
  <c r="G496" i="15"/>
  <c r="G495" i="15"/>
  <c r="G494" i="15"/>
  <c r="G493" i="15"/>
  <c r="G492" i="15"/>
  <c r="G491" i="15"/>
  <c r="G490" i="15"/>
  <c r="G489" i="15"/>
  <c r="G488" i="15"/>
  <c r="G487" i="15"/>
  <c r="G486" i="15"/>
  <c r="G485" i="15"/>
  <c r="G484" i="15"/>
  <c r="G483" i="15"/>
  <c r="G482" i="15"/>
  <c r="G481" i="15"/>
  <c r="G480" i="15"/>
  <c r="G479" i="15"/>
  <c r="G478" i="15"/>
  <c r="G477" i="15"/>
  <c r="G476" i="15"/>
  <c r="G475" i="15"/>
  <c r="G474" i="15"/>
  <c r="G473" i="15"/>
  <c r="G472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H186" i="15"/>
  <c r="G186" i="15"/>
  <c r="H185" i="15"/>
  <c r="G185" i="15"/>
  <c r="H184" i="15"/>
  <c r="G184" i="15"/>
  <c r="H183" i="15"/>
  <c r="G183" i="15"/>
  <c r="H182" i="15"/>
  <c r="G182" i="15"/>
  <c r="H181" i="15"/>
  <c r="G181" i="15"/>
  <c r="H180" i="15"/>
  <c r="G180" i="15"/>
  <c r="H179" i="15"/>
  <c r="G179" i="15"/>
  <c r="H178" i="15"/>
  <c r="G178" i="15"/>
  <c r="H177" i="15"/>
  <c r="G177" i="15"/>
  <c r="H176" i="15"/>
  <c r="G176" i="15"/>
  <c r="H175" i="15"/>
  <c r="G175" i="15"/>
  <c r="H174" i="15"/>
  <c r="G174" i="15"/>
  <c r="H173" i="15"/>
  <c r="G173" i="15"/>
  <c r="H172" i="15"/>
  <c r="G172" i="15"/>
  <c r="H171" i="15"/>
  <c r="G171" i="15"/>
  <c r="H170" i="15"/>
  <c r="G170" i="15"/>
  <c r="H169" i="15"/>
  <c r="G169" i="15"/>
  <c r="H168" i="15"/>
  <c r="G168" i="15"/>
  <c r="H167" i="15"/>
  <c r="G167" i="15"/>
  <c r="H166" i="15"/>
  <c r="G166" i="15"/>
  <c r="H165" i="15"/>
  <c r="G165" i="15"/>
  <c r="H164" i="15"/>
  <c r="G164" i="15"/>
  <c r="H163" i="15"/>
  <c r="G163" i="15"/>
  <c r="H162" i="15"/>
  <c r="G162" i="15"/>
  <c r="H161" i="15"/>
  <c r="G161" i="15"/>
  <c r="H160" i="15"/>
  <c r="G160" i="15"/>
  <c r="H159" i="15"/>
  <c r="G159" i="15"/>
  <c r="H158" i="15"/>
  <c r="G158" i="15"/>
  <c r="H157" i="15"/>
  <c r="G157" i="15"/>
  <c r="H156" i="15"/>
  <c r="G156" i="15"/>
  <c r="H155" i="15"/>
  <c r="G155" i="15"/>
  <c r="H154" i="15"/>
  <c r="G154" i="15"/>
  <c r="H153" i="15"/>
  <c r="G153" i="15"/>
  <c r="H152" i="15"/>
  <c r="G152" i="15"/>
  <c r="H151" i="15"/>
  <c r="G151" i="15"/>
  <c r="H150" i="15"/>
  <c r="G150" i="15"/>
  <c r="H149" i="15"/>
  <c r="G149" i="15"/>
  <c r="H148" i="15"/>
  <c r="G148" i="15"/>
  <c r="H147" i="15"/>
  <c r="G147" i="15"/>
  <c r="H146" i="15"/>
  <c r="G146" i="15"/>
  <c r="H145" i="15"/>
  <c r="G145" i="15"/>
  <c r="H144" i="15"/>
  <c r="G144" i="15"/>
  <c r="H143" i="15"/>
  <c r="G143" i="15"/>
  <c r="H142" i="15"/>
  <c r="G142" i="15"/>
  <c r="H141" i="15"/>
  <c r="G141" i="15"/>
  <c r="H140" i="15"/>
  <c r="G140" i="15"/>
  <c r="H139" i="15"/>
  <c r="G139" i="15"/>
  <c r="H138" i="15"/>
  <c r="G138" i="15"/>
  <c r="H137" i="15"/>
  <c r="G137" i="15"/>
  <c r="H136" i="15"/>
  <c r="G136" i="15"/>
  <c r="H135" i="15"/>
  <c r="G135" i="15"/>
  <c r="H134" i="15"/>
  <c r="G134" i="15"/>
  <c r="H133" i="15"/>
  <c r="G133" i="15"/>
  <c r="H132" i="15"/>
  <c r="G132" i="15"/>
  <c r="H131" i="15"/>
  <c r="G131" i="15"/>
  <c r="H130" i="15"/>
  <c r="G130" i="15"/>
  <c r="H129" i="15"/>
  <c r="G129" i="15"/>
  <c r="H128" i="15"/>
  <c r="G128" i="15"/>
  <c r="H127" i="15"/>
  <c r="G127" i="15"/>
  <c r="H126" i="15"/>
  <c r="G126" i="15"/>
  <c r="H125" i="15"/>
  <c r="G125" i="15"/>
  <c r="H124" i="15"/>
  <c r="G124" i="15"/>
  <c r="H123" i="15"/>
  <c r="G123" i="15"/>
  <c r="H122" i="15"/>
  <c r="G122" i="15"/>
  <c r="H121" i="15"/>
  <c r="G121" i="15"/>
  <c r="H120" i="15"/>
  <c r="G120" i="15"/>
  <c r="H119" i="15"/>
  <c r="G119" i="15"/>
  <c r="H118" i="15"/>
  <c r="G118" i="15"/>
  <c r="H117" i="15"/>
  <c r="G117" i="15"/>
  <c r="H116" i="15"/>
  <c r="G116" i="15"/>
  <c r="H115" i="15"/>
  <c r="G115" i="15"/>
  <c r="H114" i="15"/>
  <c r="G114" i="15"/>
  <c r="H113" i="15"/>
  <c r="G113" i="15"/>
  <c r="H112" i="15"/>
  <c r="G112" i="15"/>
  <c r="H111" i="15"/>
  <c r="G111" i="15"/>
  <c r="H110" i="15"/>
  <c r="G110" i="15"/>
  <c r="H109" i="15"/>
  <c r="G109" i="15"/>
  <c r="H108" i="15"/>
  <c r="G108" i="15"/>
  <c r="H107" i="15"/>
  <c r="G107" i="15"/>
  <c r="H106" i="15"/>
  <c r="G106" i="15"/>
  <c r="H105" i="15"/>
  <c r="G105" i="15"/>
  <c r="H104" i="15"/>
  <c r="G104" i="15"/>
  <c r="H103" i="15"/>
  <c r="G103" i="15"/>
  <c r="H102" i="15"/>
  <c r="G102" i="15"/>
  <c r="H101" i="15"/>
  <c r="G101" i="15"/>
  <c r="H100" i="15"/>
  <c r="G100" i="15"/>
  <c r="H99" i="15"/>
  <c r="G99" i="15"/>
  <c r="H98" i="15"/>
  <c r="G98" i="15"/>
  <c r="H97" i="15"/>
  <c r="G97" i="15"/>
  <c r="H96" i="15"/>
  <c r="G96" i="15"/>
  <c r="H95" i="15"/>
  <c r="G95" i="15"/>
  <c r="H94" i="15"/>
  <c r="G94" i="15"/>
  <c r="H93" i="15"/>
  <c r="G93" i="15"/>
  <c r="H92" i="15"/>
  <c r="G92" i="15"/>
  <c r="H91" i="15"/>
  <c r="G91" i="15"/>
  <c r="H90" i="15"/>
  <c r="G90" i="15"/>
  <c r="H89" i="15"/>
  <c r="G89" i="15"/>
  <c r="H88" i="15"/>
  <c r="G88" i="15"/>
  <c r="H87" i="15"/>
  <c r="G87" i="15"/>
  <c r="H86" i="15"/>
  <c r="G86" i="15"/>
  <c r="H85" i="15"/>
  <c r="G85" i="15"/>
  <c r="H84" i="15"/>
  <c r="G84" i="15"/>
  <c r="H83" i="15"/>
  <c r="G83" i="15"/>
  <c r="H82" i="15"/>
  <c r="G82" i="15"/>
  <c r="H81" i="15"/>
  <c r="G81" i="15"/>
  <c r="H80" i="15"/>
  <c r="G80" i="15"/>
  <c r="H79" i="15"/>
  <c r="G79" i="15"/>
  <c r="H78" i="15"/>
  <c r="G78" i="15"/>
  <c r="H77" i="15"/>
  <c r="G77" i="15"/>
  <c r="H76" i="15"/>
  <c r="G76" i="15"/>
  <c r="H75" i="15"/>
  <c r="G75" i="15"/>
  <c r="H74" i="15"/>
  <c r="G74" i="15"/>
  <c r="H73" i="15"/>
  <c r="G73" i="15"/>
  <c r="H72" i="15"/>
  <c r="G72" i="15"/>
  <c r="H71" i="15"/>
  <c r="G71" i="15"/>
  <c r="H70" i="15"/>
  <c r="G70" i="15"/>
  <c r="H69" i="15"/>
  <c r="G69" i="15"/>
  <c r="H68" i="15"/>
  <c r="G68" i="15"/>
  <c r="H67" i="15"/>
  <c r="G67" i="15"/>
  <c r="H66" i="15"/>
  <c r="G66" i="15"/>
  <c r="H65" i="15"/>
  <c r="G65" i="15"/>
  <c r="H64" i="15"/>
  <c r="G64" i="15"/>
  <c r="H63" i="15"/>
  <c r="G63" i="15"/>
  <c r="H62" i="15"/>
  <c r="G62" i="15"/>
  <c r="H61" i="15"/>
  <c r="G61" i="15"/>
  <c r="H60" i="15"/>
  <c r="G60" i="15"/>
  <c r="H59" i="15"/>
  <c r="G59" i="15"/>
  <c r="H58" i="15"/>
  <c r="G58" i="15"/>
  <c r="H57" i="15"/>
  <c r="G57" i="15"/>
  <c r="H56" i="15"/>
  <c r="G56" i="15"/>
  <c r="H55" i="15"/>
  <c r="G55" i="15"/>
  <c r="H54" i="15"/>
  <c r="G54" i="15"/>
  <c r="H53" i="15"/>
  <c r="G53" i="15"/>
  <c r="H52" i="15"/>
  <c r="G52" i="15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H26" i="15"/>
  <c r="G26" i="15"/>
  <c r="H25" i="15"/>
  <c r="G25" i="15"/>
  <c r="H24" i="15"/>
  <c r="G24" i="15"/>
  <c r="H23" i="15"/>
  <c r="G23" i="15"/>
  <c r="H22" i="15"/>
  <c r="G22" i="15"/>
  <c r="H21" i="15"/>
  <c r="G21" i="15"/>
  <c r="H20" i="15"/>
  <c r="G20" i="15"/>
  <c r="H19" i="15"/>
  <c r="G19" i="15"/>
  <c r="H18" i="15"/>
  <c r="G18" i="15"/>
  <c r="H17" i="15"/>
  <c r="G17" i="15"/>
  <c r="H16" i="15"/>
  <c r="G16" i="15"/>
  <c r="H15" i="15"/>
  <c r="G15" i="15"/>
  <c r="H14" i="15"/>
  <c r="G14" i="15"/>
  <c r="H13" i="15"/>
  <c r="G13" i="15"/>
  <c r="H12" i="15"/>
  <c r="G12" i="15"/>
  <c r="H11" i="15"/>
  <c r="G11" i="15"/>
  <c r="H10" i="15"/>
  <c r="G10" i="15"/>
  <c r="H9" i="15"/>
  <c r="G9" i="15"/>
  <c r="H8" i="15"/>
  <c r="G8" i="15"/>
  <c r="H7" i="15"/>
  <c r="G7" i="15"/>
  <c r="H6" i="15"/>
  <c r="G6" i="15"/>
  <c r="H5" i="15"/>
  <c r="G5" i="15"/>
  <c r="H4" i="15"/>
  <c r="G4" i="15"/>
  <c r="G503" i="14"/>
  <c r="G502" i="14"/>
  <c r="G501" i="14"/>
  <c r="G500" i="14"/>
  <c r="G499" i="14"/>
  <c r="G498" i="14"/>
  <c r="G497" i="14"/>
  <c r="G496" i="14"/>
  <c r="G495" i="14"/>
  <c r="G494" i="14"/>
  <c r="G493" i="14"/>
  <c r="G492" i="14"/>
  <c r="G491" i="14"/>
  <c r="G490" i="14"/>
  <c r="G489" i="14"/>
  <c r="G488" i="14"/>
  <c r="G487" i="14"/>
  <c r="G486" i="14"/>
  <c r="G485" i="14"/>
  <c r="G484" i="14"/>
  <c r="G483" i="14"/>
  <c r="G482" i="14"/>
  <c r="G481" i="14"/>
  <c r="G480" i="14"/>
  <c r="G479" i="14"/>
  <c r="G478" i="14"/>
  <c r="G477" i="14"/>
  <c r="G476" i="14"/>
  <c r="G475" i="14"/>
  <c r="G474" i="14"/>
  <c r="G473" i="14"/>
  <c r="G472" i="14"/>
  <c r="G471" i="14"/>
  <c r="G470" i="14"/>
  <c r="G469" i="14"/>
  <c r="G468" i="14"/>
  <c r="G467" i="14"/>
  <c r="G466" i="14"/>
  <c r="G465" i="14"/>
  <c r="G464" i="14"/>
  <c r="G463" i="14"/>
  <c r="G462" i="14"/>
  <c r="G461" i="14"/>
  <c r="G460" i="14"/>
  <c r="G459" i="14"/>
  <c r="G458" i="14"/>
  <c r="G457" i="14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H159" i="11"/>
  <c r="G159" i="11"/>
  <c r="H158" i="11"/>
  <c r="G158" i="11"/>
  <c r="H157" i="11"/>
  <c r="G157" i="11"/>
  <c r="H156" i="11"/>
  <c r="G156" i="11"/>
  <c r="H155" i="11"/>
  <c r="G155" i="11"/>
  <c r="H154" i="11"/>
  <c r="G154" i="11"/>
  <c r="H153" i="11"/>
  <c r="G153" i="11"/>
  <c r="H152" i="11"/>
  <c r="G152" i="11"/>
  <c r="H151" i="11"/>
  <c r="G151" i="11"/>
  <c r="H150" i="11"/>
  <c r="G150" i="11"/>
  <c r="H149" i="11"/>
  <c r="G149" i="11"/>
  <c r="H148" i="11"/>
  <c r="G148" i="11"/>
  <c r="H147" i="11"/>
  <c r="G147" i="11"/>
  <c r="H146" i="11"/>
  <c r="G146" i="11"/>
  <c r="H145" i="11"/>
  <c r="G145" i="11"/>
  <c r="H144" i="11"/>
  <c r="G144" i="11"/>
  <c r="H143" i="11"/>
  <c r="G143" i="11"/>
  <c r="H142" i="11"/>
  <c r="G142" i="11"/>
  <c r="H141" i="11"/>
  <c r="G141" i="11"/>
  <c r="H140" i="11"/>
  <c r="G140" i="11"/>
  <c r="H139" i="11"/>
  <c r="G139" i="11"/>
  <c r="H138" i="11"/>
  <c r="G138" i="11"/>
  <c r="H137" i="11"/>
  <c r="G137" i="11"/>
  <c r="H136" i="11"/>
  <c r="G136" i="11"/>
  <c r="H135" i="11"/>
  <c r="G135" i="11"/>
  <c r="H134" i="11"/>
  <c r="G134" i="11"/>
  <c r="H133" i="11"/>
  <c r="G133" i="11"/>
  <c r="H132" i="11"/>
  <c r="G132" i="11"/>
  <c r="H131" i="11"/>
  <c r="G131" i="11"/>
  <c r="H130" i="11"/>
  <c r="G130" i="11"/>
  <c r="H129" i="11"/>
  <c r="G129" i="11"/>
  <c r="H128" i="11"/>
  <c r="G128" i="11"/>
  <c r="H127" i="11"/>
  <c r="G127" i="11"/>
  <c r="H126" i="11"/>
  <c r="G126" i="11"/>
  <c r="H125" i="11"/>
  <c r="G125" i="11"/>
  <c r="H124" i="11"/>
  <c r="G124" i="11"/>
  <c r="H123" i="11"/>
  <c r="G123" i="11"/>
  <c r="H122" i="11"/>
  <c r="G122" i="11"/>
  <c r="H121" i="11"/>
  <c r="G121" i="11"/>
  <c r="H120" i="11"/>
  <c r="G120" i="11"/>
  <c r="H119" i="11"/>
  <c r="G119" i="11"/>
  <c r="H118" i="11"/>
  <c r="G118" i="11"/>
  <c r="H117" i="11"/>
  <c r="G117" i="11"/>
  <c r="H116" i="11"/>
  <c r="G116" i="11"/>
  <c r="H115" i="11"/>
  <c r="G115" i="11"/>
  <c r="H114" i="11"/>
  <c r="G114" i="11"/>
  <c r="H113" i="11"/>
  <c r="G113" i="11"/>
  <c r="H112" i="11"/>
  <c r="G112" i="11"/>
  <c r="H111" i="11"/>
  <c r="G111" i="11"/>
  <c r="H110" i="11"/>
  <c r="G110" i="11"/>
  <c r="H109" i="11"/>
  <c r="G109" i="11"/>
  <c r="H108" i="11"/>
  <c r="G108" i="11"/>
  <c r="H107" i="11"/>
  <c r="G107" i="11"/>
  <c r="H106" i="11"/>
  <c r="G106" i="11"/>
  <c r="H105" i="11"/>
  <c r="G105" i="11"/>
  <c r="H104" i="11"/>
  <c r="G104" i="11"/>
  <c r="H103" i="11"/>
  <c r="G103" i="11"/>
  <c r="H102" i="11"/>
  <c r="G102" i="11"/>
  <c r="H101" i="11"/>
  <c r="G101" i="11"/>
  <c r="H100" i="11"/>
  <c r="G100" i="11"/>
  <c r="H99" i="11"/>
  <c r="G99" i="11"/>
  <c r="H98" i="11"/>
  <c r="G98" i="11"/>
  <c r="H97" i="11"/>
  <c r="G97" i="11"/>
  <c r="H96" i="11"/>
  <c r="G96" i="11"/>
  <c r="H95" i="11"/>
  <c r="G95" i="11"/>
  <c r="H94" i="11"/>
  <c r="G94" i="11"/>
  <c r="H93" i="11"/>
  <c r="G93" i="11"/>
  <c r="H92" i="11"/>
  <c r="G92" i="11"/>
  <c r="H91" i="11"/>
  <c r="G91" i="11"/>
  <c r="H90" i="11"/>
  <c r="G90" i="11"/>
  <c r="H89" i="11"/>
  <c r="G89" i="11"/>
  <c r="H88" i="11"/>
  <c r="G88" i="11"/>
  <c r="H87" i="11"/>
  <c r="G87" i="11"/>
  <c r="H86" i="11"/>
  <c r="G86" i="11"/>
  <c r="H85" i="11"/>
  <c r="G85" i="11"/>
  <c r="H84" i="11"/>
  <c r="G84" i="11"/>
  <c r="H83" i="11"/>
  <c r="G83" i="11"/>
  <c r="H82" i="11"/>
  <c r="G82" i="11"/>
  <c r="H81" i="11"/>
  <c r="G81" i="11"/>
  <c r="H80" i="11"/>
  <c r="G80" i="11"/>
  <c r="H79" i="11"/>
  <c r="G79" i="11"/>
  <c r="H78" i="11"/>
  <c r="G78" i="11"/>
  <c r="H77" i="11"/>
  <c r="G77" i="11"/>
  <c r="H76" i="11"/>
  <c r="G76" i="11"/>
  <c r="H75" i="11"/>
  <c r="G75" i="1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9" i="11"/>
  <c r="G59" i="11"/>
  <c r="H58" i="11"/>
  <c r="G58" i="11"/>
  <c r="G57" i="11"/>
  <c r="H56" i="11"/>
  <c r="G56" i="11"/>
  <c r="H55" i="11"/>
  <c r="G55" i="11"/>
  <c r="H54" i="11"/>
  <c r="G54" i="11"/>
  <c r="H53" i="11"/>
  <c r="G53" i="11"/>
  <c r="H52" i="11"/>
  <c r="G52" i="11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H4" i="11"/>
  <c r="G4" i="11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H94" i="10"/>
  <c r="G94" i="10"/>
  <c r="H93" i="10"/>
  <c r="G93" i="10"/>
  <c r="H92" i="10"/>
  <c r="G92" i="10"/>
  <c r="H91" i="10"/>
  <c r="G91" i="10"/>
  <c r="H90" i="10"/>
  <c r="G90" i="10"/>
  <c r="H89" i="10"/>
  <c r="G89" i="10"/>
  <c r="H88" i="10"/>
  <c r="G88" i="10"/>
  <c r="H87" i="10"/>
  <c r="G87" i="10"/>
  <c r="H86" i="10"/>
  <c r="G86" i="10"/>
  <c r="H85" i="10"/>
  <c r="G85" i="10"/>
  <c r="H84" i="10"/>
  <c r="G84" i="10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H66" i="10"/>
  <c r="G66" i="10"/>
  <c r="H65" i="10"/>
  <c r="G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G503" i="9"/>
  <c r="G502" i="9"/>
  <c r="G501" i="9"/>
  <c r="G500" i="9"/>
  <c r="G499" i="9"/>
  <c r="G498" i="9"/>
  <c r="G497" i="9"/>
  <c r="G496" i="9"/>
  <c r="G495" i="9"/>
  <c r="G494" i="9"/>
  <c r="G493" i="9"/>
  <c r="G492" i="9"/>
  <c r="G491" i="9"/>
  <c r="G490" i="9"/>
  <c r="G489" i="9"/>
  <c r="G488" i="9"/>
  <c r="G487" i="9"/>
  <c r="G486" i="9"/>
  <c r="G485" i="9"/>
  <c r="G484" i="9"/>
  <c r="G483" i="9"/>
  <c r="G482" i="9"/>
  <c r="G481" i="9"/>
  <c r="G480" i="9"/>
  <c r="G479" i="9"/>
  <c r="G478" i="9"/>
  <c r="G477" i="9"/>
  <c r="G476" i="9"/>
  <c r="G475" i="9"/>
  <c r="G474" i="9"/>
  <c r="G473" i="9"/>
  <c r="G472" i="9"/>
  <c r="G471" i="9"/>
  <c r="G470" i="9"/>
  <c r="G469" i="9"/>
  <c r="G468" i="9"/>
  <c r="G467" i="9"/>
  <c r="G466" i="9"/>
  <c r="G465" i="9"/>
  <c r="G464" i="9"/>
  <c r="G463" i="9"/>
  <c r="G462" i="9"/>
  <c r="G461" i="9"/>
  <c r="G460" i="9"/>
  <c r="G459" i="9"/>
  <c r="G458" i="9"/>
  <c r="G457" i="9"/>
  <c r="G456" i="9"/>
  <c r="G455" i="9"/>
  <c r="G454" i="9"/>
  <c r="G453" i="9"/>
  <c r="G452" i="9"/>
  <c r="G451" i="9"/>
  <c r="G450" i="9"/>
  <c r="G449" i="9"/>
  <c r="G448" i="9"/>
  <c r="G447" i="9"/>
  <c r="G446" i="9"/>
  <c r="G445" i="9"/>
  <c r="G444" i="9"/>
  <c r="G443" i="9"/>
  <c r="G442" i="9"/>
  <c r="G441" i="9"/>
  <c r="G440" i="9"/>
  <c r="G439" i="9"/>
  <c r="G438" i="9"/>
  <c r="G437" i="9"/>
  <c r="G436" i="9"/>
  <c r="G435" i="9"/>
  <c r="G434" i="9"/>
  <c r="G433" i="9"/>
  <c r="G432" i="9"/>
  <c r="G431" i="9"/>
  <c r="G430" i="9"/>
  <c r="G429" i="9"/>
  <c r="G428" i="9"/>
  <c r="G427" i="9"/>
  <c r="G426" i="9"/>
  <c r="G425" i="9"/>
  <c r="G424" i="9"/>
  <c r="G423" i="9"/>
  <c r="G422" i="9"/>
  <c r="G421" i="9"/>
  <c r="G420" i="9"/>
  <c r="G419" i="9"/>
  <c r="G418" i="9"/>
  <c r="G417" i="9"/>
  <c r="G416" i="9"/>
  <c r="G415" i="9"/>
  <c r="G414" i="9"/>
  <c r="G413" i="9"/>
  <c r="G412" i="9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H83" i="9"/>
  <c r="G83" i="9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4" i="7"/>
  <c r="G4" i="7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G270" i="5"/>
  <c r="H269" i="5"/>
  <c r="G269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<sst xmlns="http://schemas.openxmlformats.org/spreadsheetml/2006/main" count="7693" uniqueCount="2664">
  <si>
    <t>NCAE STUDENT DATA - ANDRES BONIFACIO NHS</t>
  </si>
  <si>
    <t>NO.</t>
  </si>
  <si>
    <t>SECTION</t>
  </si>
  <si>
    <t>COMPLETE NAME</t>
  </si>
  <si>
    <t>LRN (LEARNER REFERENCE NUMBER)</t>
  </si>
  <si>
    <t>r6-1 MS ACCOUNT</t>
  </si>
  <si>
    <t>PASSWORD</t>
  </si>
  <si>
    <t>LASTNAME</t>
  </si>
  <si>
    <t>FIRSTNAME</t>
  </si>
  <si>
    <t>MI</t>
  </si>
  <si>
    <t>MOLINAS</t>
  </si>
  <si>
    <t>AQUINO</t>
  </si>
  <si>
    <t>ALEX</t>
  </si>
  <si>
    <t>C.</t>
  </si>
  <si>
    <t>done</t>
  </si>
  <si>
    <t>BILBAR</t>
  </si>
  <si>
    <t>ALEXANDER</t>
  </si>
  <si>
    <t xml:space="preserve">L. </t>
  </si>
  <si>
    <t>BONDA</t>
  </si>
  <si>
    <t>FRANCIS JOHN</t>
  </si>
  <si>
    <t>I.</t>
  </si>
  <si>
    <t>CALEON</t>
  </si>
  <si>
    <t>JUSTINE ADRIAN</t>
  </si>
  <si>
    <t>E.</t>
  </si>
  <si>
    <t>DATO-ON</t>
  </si>
  <si>
    <t>JOHN TRAVISH</t>
  </si>
  <si>
    <t>D.</t>
  </si>
  <si>
    <t>DAVO</t>
  </si>
  <si>
    <t xml:space="preserve">JAY-AR </t>
  </si>
  <si>
    <t>DUCA</t>
  </si>
  <si>
    <t>DAVID PAUL</t>
  </si>
  <si>
    <t>V.</t>
  </si>
  <si>
    <t>ESPINOSA</t>
  </si>
  <si>
    <t>ARON MATHEW</t>
  </si>
  <si>
    <t>A.</t>
  </si>
  <si>
    <t>JAY MARCH</t>
  </si>
  <si>
    <t>F.</t>
  </si>
  <si>
    <t>JENIER</t>
  </si>
  <si>
    <t>RIJAN</t>
  </si>
  <si>
    <t>M.</t>
  </si>
  <si>
    <t>MAGBANUA</t>
  </si>
  <si>
    <t>ALJUN</t>
  </si>
  <si>
    <t>STEPHEN</t>
  </si>
  <si>
    <t>R.</t>
  </si>
  <si>
    <t>PACTAO-IN</t>
  </si>
  <si>
    <t>RODGIE</t>
  </si>
  <si>
    <t>no account</t>
  </si>
  <si>
    <t>PAMPLONA</t>
  </si>
  <si>
    <t>MIKE</t>
  </si>
  <si>
    <t>PIANO</t>
  </si>
  <si>
    <t>JOHN PAUL</t>
  </si>
  <si>
    <t>PILAREZ</t>
  </si>
  <si>
    <t>RICHARD JR.</t>
  </si>
  <si>
    <t>SIBONGA</t>
  </si>
  <si>
    <t>JOHN WAYNE</t>
  </si>
  <si>
    <t>SUCAYRE</t>
  </si>
  <si>
    <t>RHEBER</t>
  </si>
  <si>
    <t>ANDRADE</t>
  </si>
  <si>
    <t xml:space="preserve">JANNEN </t>
  </si>
  <si>
    <t>G.</t>
  </si>
  <si>
    <t>APOLINAR</t>
  </si>
  <si>
    <t>CHOYET</t>
  </si>
  <si>
    <t>BALAJADIA</t>
  </si>
  <si>
    <t>CYRENE</t>
  </si>
  <si>
    <t>DERDER</t>
  </si>
  <si>
    <t>CHARICE</t>
  </si>
  <si>
    <t>O.</t>
  </si>
  <si>
    <t>MICHELLE</t>
  </si>
  <si>
    <t>SHARMAINE</t>
  </si>
  <si>
    <t>MADRENINO</t>
  </si>
  <si>
    <t>CRISA JEAN</t>
  </si>
  <si>
    <t>P.</t>
  </si>
  <si>
    <t>MAG-ALASIN</t>
  </si>
  <si>
    <t>SHAIN EISHA</t>
  </si>
  <si>
    <t>MATULAC</t>
  </si>
  <si>
    <t>NEXY</t>
  </si>
  <si>
    <t>J.</t>
  </si>
  <si>
    <t>MELLEZA</t>
  </si>
  <si>
    <t>ARLANE</t>
  </si>
  <si>
    <t>NIEVES</t>
  </si>
  <si>
    <t>LUREN ZAINA</t>
  </si>
  <si>
    <t>PACALTO</t>
  </si>
  <si>
    <t>EDEN ROSE</t>
  </si>
  <si>
    <t>B.</t>
  </si>
  <si>
    <t>PARCON</t>
  </si>
  <si>
    <t>APRIL HEART</t>
  </si>
  <si>
    <t>N.</t>
  </si>
  <si>
    <t>SANTIANA</t>
  </si>
  <si>
    <t>ANGELICA</t>
  </si>
  <si>
    <t>SUENO</t>
  </si>
  <si>
    <t>ARRIANE</t>
  </si>
  <si>
    <t>VALENCIA</t>
  </si>
  <si>
    <t>MA NICOLE</t>
  </si>
  <si>
    <t>WAYCO</t>
  </si>
  <si>
    <t>LYKA</t>
  </si>
  <si>
    <t>-</t>
  </si>
  <si>
    <t>CHIN</t>
  </si>
  <si>
    <t>AMOYO</t>
  </si>
  <si>
    <t>TOM CHRISMAR</t>
  </si>
  <si>
    <t>BALIGUAT</t>
  </si>
  <si>
    <t>JOHN KEVIN</t>
  </si>
  <si>
    <t>BARTAZAN</t>
  </si>
  <si>
    <t>MELBERTH</t>
  </si>
  <si>
    <t>BURGAS</t>
  </si>
  <si>
    <t xml:space="preserve">ALJOHN </t>
  </si>
  <si>
    <t>DORIMON</t>
  </si>
  <si>
    <t>DADS</t>
  </si>
  <si>
    <t>GABRIEL</t>
  </si>
  <si>
    <t>STEVE JIAN</t>
  </si>
  <si>
    <t>LEGASPINA</t>
  </si>
  <si>
    <t>PRINCE JERIC</t>
  </si>
  <si>
    <t>PANAGDATO</t>
  </si>
  <si>
    <t xml:space="preserve">MICHAEL </t>
  </si>
  <si>
    <t>PESCANTE</t>
  </si>
  <si>
    <t>PETER ANDRE</t>
  </si>
  <si>
    <t>H.</t>
  </si>
  <si>
    <t>PLANAS</t>
  </si>
  <si>
    <t>JASON</t>
  </si>
  <si>
    <t>RICAFORT</t>
  </si>
  <si>
    <t>IAN CRIS</t>
  </si>
  <si>
    <t>S.</t>
  </si>
  <si>
    <t xml:space="preserve">JAYFORD JR. </t>
  </si>
  <si>
    <t>SUBI</t>
  </si>
  <si>
    <t>JAY</t>
  </si>
  <si>
    <t>TAGSIP</t>
  </si>
  <si>
    <t xml:space="preserve">FRANCIS </t>
  </si>
  <si>
    <t>TICAR</t>
  </si>
  <si>
    <t>WELMAR</t>
  </si>
  <si>
    <t>VILLARUEL</t>
  </si>
  <si>
    <t>ZILJIAN</t>
  </si>
  <si>
    <t>ABERIA</t>
  </si>
  <si>
    <t>ARMIE ELLA</t>
  </si>
  <si>
    <t>AGUIRRE</t>
  </si>
  <si>
    <t>GRELIZIAH ENDEAH</t>
  </si>
  <si>
    <t>BERTE</t>
  </si>
  <si>
    <t>JELIAN</t>
  </si>
  <si>
    <t>CABALLERO</t>
  </si>
  <si>
    <t>JENNY</t>
  </si>
  <si>
    <t>CABELARA</t>
  </si>
  <si>
    <t>JAYVEN MAE</t>
  </si>
  <si>
    <t>CAGAS</t>
  </si>
  <si>
    <t>AFRILYN</t>
  </si>
  <si>
    <t>DESIERTO</t>
  </si>
  <si>
    <t>JAZZLYN MARIZ</t>
  </si>
  <si>
    <t>ELEGANO</t>
  </si>
  <si>
    <t>ERAH</t>
  </si>
  <si>
    <t>ESTACIO</t>
  </si>
  <si>
    <t>LHOREINE</t>
  </si>
  <si>
    <t>LANOHAN</t>
  </si>
  <si>
    <t>ANGELA KEITH</t>
  </si>
  <si>
    <t>OBINQUE</t>
  </si>
  <si>
    <t>ANA MAE</t>
  </si>
  <si>
    <t>BHEVIRLYN</t>
  </si>
  <si>
    <t>ROMAY</t>
  </si>
  <si>
    <t>ALEAH JANE</t>
  </si>
  <si>
    <t>SUMABONG</t>
  </si>
  <si>
    <t>IRENE</t>
  </si>
  <si>
    <t>VILLASOR</t>
  </si>
  <si>
    <t>DONA KREZHEA</t>
  </si>
  <si>
    <t>BOJOS</t>
  </si>
  <si>
    <t>AMANIA</t>
  </si>
  <si>
    <t>BABY BOY JR.</t>
  </si>
  <si>
    <t>BARREDO</t>
  </si>
  <si>
    <t>DEPJE</t>
  </si>
  <si>
    <t>JEBOY</t>
  </si>
  <si>
    <t>WILMER</t>
  </si>
  <si>
    <t>Z.</t>
  </si>
  <si>
    <t>ESCANDELOR</t>
  </si>
  <si>
    <t>ZAIJAN</t>
  </si>
  <si>
    <t>ESMELLARIN</t>
  </si>
  <si>
    <t>JAVE AXEL</t>
  </si>
  <si>
    <t>HONDRADA</t>
  </si>
  <si>
    <t>LLANO</t>
  </si>
  <si>
    <t>RONALD</t>
  </si>
  <si>
    <t>LUTERO</t>
  </si>
  <si>
    <t>FRANZ</t>
  </si>
  <si>
    <t>MESIORADO</t>
  </si>
  <si>
    <t>ARIEN</t>
  </si>
  <si>
    <t>MONDEJAR</t>
  </si>
  <si>
    <t>ROWENO JR</t>
  </si>
  <si>
    <t>MONTEPOSO</t>
  </si>
  <si>
    <t>ALFREDO JR</t>
  </si>
  <si>
    <t>NEIL</t>
  </si>
  <si>
    <t>SABALA</t>
  </si>
  <si>
    <t>SERDENA</t>
  </si>
  <si>
    <t>KENT JHON</t>
  </si>
  <si>
    <t>SINAYO</t>
  </si>
  <si>
    <t>AJ</t>
  </si>
  <si>
    <t>VILLAFLOR</t>
  </si>
  <si>
    <t>JUSTIN</t>
  </si>
  <si>
    <t>APURADO</t>
  </si>
  <si>
    <t>NIKKI</t>
  </si>
  <si>
    <t>ARIQUE</t>
  </si>
  <si>
    <t>MARY KRIS</t>
  </si>
  <si>
    <t>BARROS</t>
  </si>
  <si>
    <t>GWENYTH HANNAH</t>
  </si>
  <si>
    <t>BELASCUAIN</t>
  </si>
  <si>
    <t>JENNYBELLE</t>
  </si>
  <si>
    <t>ROLYN JOY</t>
  </si>
  <si>
    <t>CABUNAG</t>
  </si>
  <si>
    <t>JOAN</t>
  </si>
  <si>
    <t>EJANO</t>
  </si>
  <si>
    <t>ANGEL THIANNA</t>
  </si>
  <si>
    <t>GABATA</t>
  </si>
  <si>
    <t>MA FERLYN KATE</t>
  </si>
  <si>
    <t>INOPERIO</t>
  </si>
  <si>
    <t>STELA MAE</t>
  </si>
  <si>
    <t>Y.</t>
  </si>
  <si>
    <t>JUMAWAN</t>
  </si>
  <si>
    <t>LORANA</t>
  </si>
  <si>
    <t>RHEA</t>
  </si>
  <si>
    <t>MOLO</t>
  </si>
  <si>
    <t>KYLA MAE</t>
  </si>
  <si>
    <t>NACAR</t>
  </si>
  <si>
    <t>ANGEL</t>
  </si>
  <si>
    <t>PAUBSANON</t>
  </si>
  <si>
    <t>LIEZEL</t>
  </si>
  <si>
    <t>PENAFIEL</t>
  </si>
  <si>
    <t>REA MAE</t>
  </si>
  <si>
    <t>PENAFLOR</t>
  </si>
  <si>
    <t>CASSANDRA</t>
  </si>
  <si>
    <t>W.</t>
  </si>
  <si>
    <t>PRINO</t>
  </si>
  <si>
    <t>ERIKA JOY</t>
  </si>
  <si>
    <t>SABORNAY</t>
  </si>
  <si>
    <t>ALIYAH MAE</t>
  </si>
  <si>
    <t>LENGIE ROSE</t>
  </si>
  <si>
    <t>add rows if needed</t>
  </si>
  <si>
    <t>NCAE STUDENT DATA - BANQUEROHAN NHS</t>
  </si>
  <si>
    <t>CHAVEZ</t>
  </si>
  <si>
    <t>ABELLA</t>
  </si>
  <si>
    <t>S</t>
  </si>
  <si>
    <t>ABELLO</t>
  </si>
  <si>
    <t>SHUNSIE</t>
  </si>
  <si>
    <t>N</t>
  </si>
  <si>
    <t>APAWAN</t>
  </si>
  <si>
    <t>FRIETZ</t>
  </si>
  <si>
    <t>BAGAFORO</t>
  </si>
  <si>
    <t>JAMES</t>
  </si>
  <si>
    <t>D</t>
  </si>
  <si>
    <t>BAYON-ON</t>
  </si>
  <si>
    <t>CHRISMAR</t>
  </si>
  <si>
    <t>L</t>
  </si>
  <si>
    <t>CABAHUG</t>
  </si>
  <si>
    <t>CARL</t>
  </si>
  <si>
    <t>P</t>
  </si>
  <si>
    <t>CAPINPIN</t>
  </si>
  <si>
    <t>LOUIE JAY</t>
  </si>
  <si>
    <t>COSTILLAS</t>
  </si>
  <si>
    <t>CHRISTIAN</t>
  </si>
  <si>
    <t>CUBAY</t>
  </si>
  <si>
    <t>KIM</t>
  </si>
  <si>
    <t>C</t>
  </si>
  <si>
    <t>DAWA</t>
  </si>
  <si>
    <t xml:space="preserve">JEWEL MARY </t>
  </si>
  <si>
    <t>G</t>
  </si>
  <si>
    <t>DELOS SANTOS</t>
  </si>
  <si>
    <t>V</t>
  </si>
  <si>
    <t>DEMA-ALA</t>
  </si>
  <si>
    <t xml:space="preserve">ROSWARD </t>
  </si>
  <si>
    <t>J</t>
  </si>
  <si>
    <t>EVA</t>
  </si>
  <si>
    <t>DALDEN</t>
  </si>
  <si>
    <t>B</t>
  </si>
  <si>
    <t>FAELMARIN</t>
  </si>
  <si>
    <t>DEXTER</t>
  </si>
  <si>
    <t>GATILAGO</t>
  </si>
  <si>
    <t>SHARLEY MITCH</t>
  </si>
  <si>
    <t>M</t>
  </si>
  <si>
    <t>JANEA</t>
  </si>
  <si>
    <t>LYX</t>
  </si>
  <si>
    <t>LACHICA</t>
  </si>
  <si>
    <t>LLOYD STEPHEN</t>
  </si>
  <si>
    <t>MANAYON</t>
  </si>
  <si>
    <t>KISSANDRA</t>
  </si>
  <si>
    <t>MERABE</t>
  </si>
  <si>
    <t>JOHN JHAPETH</t>
  </si>
  <si>
    <t>MONTUERTO</t>
  </si>
  <si>
    <t xml:space="preserve">NICK SHANE </t>
  </si>
  <si>
    <t>PAROCHEL</t>
  </si>
  <si>
    <t xml:space="preserve">RYAN VINCE </t>
  </si>
  <si>
    <t>T</t>
  </si>
  <si>
    <t>PINEDA</t>
  </si>
  <si>
    <t>ALEXIE ANN</t>
  </si>
  <si>
    <t>POGOY</t>
  </si>
  <si>
    <t>VEGA</t>
  </si>
  <si>
    <t>QUINONEZ</t>
  </si>
  <si>
    <t>ALEXIS</t>
  </si>
  <si>
    <t>RAMOS</t>
  </si>
  <si>
    <t>EMALYN</t>
  </si>
  <si>
    <t>RIA</t>
  </si>
  <si>
    <t>PAOLO GABRIEL</t>
  </si>
  <si>
    <t>ROBISO</t>
  </si>
  <si>
    <t>DEVI GRACE</t>
  </si>
  <si>
    <t>A</t>
  </si>
  <si>
    <t>RONAMO</t>
  </si>
  <si>
    <t>AIRA GRACE</t>
  </si>
  <si>
    <t>IVAN</t>
  </si>
  <si>
    <t>SEDAYON</t>
  </si>
  <si>
    <t xml:space="preserve">KYLE YVONNE </t>
  </si>
  <si>
    <t>I</t>
  </si>
  <si>
    <t>TIBAR</t>
  </si>
  <si>
    <t>JUDE</t>
  </si>
  <si>
    <t>ALVIN</t>
  </si>
  <si>
    <t>PABALAN</t>
  </si>
  <si>
    <t>ASUMBRA</t>
  </si>
  <si>
    <t>DANICA</t>
  </si>
  <si>
    <t>AZUCENA</t>
  </si>
  <si>
    <t>MARCHELOU</t>
  </si>
  <si>
    <t>R</t>
  </si>
  <si>
    <t>HANNA MAE</t>
  </si>
  <si>
    <t>F</t>
  </si>
  <si>
    <t>BATAYOLA</t>
  </si>
  <si>
    <t>JERMER</t>
  </si>
  <si>
    <t>DELA CRUZ</t>
  </si>
  <si>
    <t>MARVIN</t>
  </si>
  <si>
    <t>DELA PEÑA</t>
  </si>
  <si>
    <t>ROWENA</t>
  </si>
  <si>
    <t>DELA ROSA</t>
  </si>
  <si>
    <t>GEOFF</t>
  </si>
  <si>
    <t>Q</t>
  </si>
  <si>
    <t>DELA TORRE</t>
  </si>
  <si>
    <t>JUVEN</t>
  </si>
  <si>
    <t>JOHN DERIK</t>
  </si>
  <si>
    <t>DESAMPARADO</t>
  </si>
  <si>
    <t>ART</t>
  </si>
  <si>
    <t>DILIGENCIA</t>
  </si>
  <si>
    <t>ARIAN</t>
  </si>
  <si>
    <t>DIOSO</t>
  </si>
  <si>
    <t>JOSH</t>
  </si>
  <si>
    <t>FLORES</t>
  </si>
  <si>
    <t>RICHARD</t>
  </si>
  <si>
    <t>JIMENEZ</t>
  </si>
  <si>
    <t>JOSHUA</t>
  </si>
  <si>
    <t>MACARIOLA</t>
  </si>
  <si>
    <t>ROSALLY</t>
  </si>
  <si>
    <t xml:space="preserve">MALINAO </t>
  </si>
  <si>
    <t>ULYSSES</t>
  </si>
  <si>
    <t>MALUNES</t>
  </si>
  <si>
    <t>CHESCA</t>
  </si>
  <si>
    <t>MENDOZA</t>
  </si>
  <si>
    <t>RODELIO</t>
  </si>
  <si>
    <t>MIGALLOS</t>
  </si>
  <si>
    <t>NEGRO</t>
  </si>
  <si>
    <t>ROLDAN JR.</t>
  </si>
  <si>
    <t>PALMA</t>
  </si>
  <si>
    <t>PRINCESS-LYN</t>
  </si>
  <si>
    <t>ROSELYN</t>
  </si>
  <si>
    <t>SALAZAR</t>
  </si>
  <si>
    <t>SANTILLAN</t>
  </si>
  <si>
    <t>JOVEL</t>
  </si>
  <si>
    <t>SAYSON</t>
  </si>
  <si>
    <t>GUIA MAE</t>
  </si>
  <si>
    <t>MARWIE JEAN</t>
  </si>
  <si>
    <t>TECSON</t>
  </si>
  <si>
    <t>TIAPON</t>
  </si>
  <si>
    <t>EDJAY</t>
  </si>
  <si>
    <t>TOMABIENE</t>
  </si>
  <si>
    <t>ERICSON</t>
  </si>
  <si>
    <t>ZARRAGA</t>
  </si>
  <si>
    <t>REX</t>
  </si>
  <si>
    <t>E</t>
  </si>
  <si>
    <t>SIROY</t>
  </si>
  <si>
    <t>ABAS</t>
  </si>
  <si>
    <t xml:space="preserve">JOHN MARK </t>
  </si>
  <si>
    <t>ARABACA</t>
  </si>
  <si>
    <t>JOHN RAFAEL</t>
  </si>
  <si>
    <t>ARQUISOLA</t>
  </si>
  <si>
    <t>JOHN ALVIN</t>
  </si>
  <si>
    <t>ARTILADO</t>
  </si>
  <si>
    <t>DANIEL</t>
  </si>
  <si>
    <t>BAJADO</t>
  </si>
  <si>
    <t>GELIAN</t>
  </si>
  <si>
    <t>BARBECHO</t>
  </si>
  <si>
    <t>PATRICK</t>
  </si>
  <si>
    <t>CORDERO</t>
  </si>
  <si>
    <t>CORTOCENA</t>
  </si>
  <si>
    <t>RULLY JOHN  JR.</t>
  </si>
  <si>
    <t>DIOLA</t>
  </si>
  <si>
    <t>CJAY</t>
  </si>
  <si>
    <t>FABIOSA</t>
  </si>
  <si>
    <t>RULYN</t>
  </si>
  <si>
    <t>RAMMEL JR.</t>
  </si>
  <si>
    <t>GONZALES</t>
  </si>
  <si>
    <t>GEROME</t>
  </si>
  <si>
    <t>GORREZ</t>
  </si>
  <si>
    <t>JOHNREY</t>
  </si>
  <si>
    <t>GRACENA</t>
  </si>
  <si>
    <t>RODNEY</t>
  </si>
  <si>
    <t>MAHINAY</t>
  </si>
  <si>
    <t>JEMRICK</t>
  </si>
  <si>
    <t>PEDRANSA</t>
  </si>
  <si>
    <t>KRISTOFFER</t>
  </si>
  <si>
    <t>SELUBRICO</t>
  </si>
  <si>
    <t>JUNE</t>
  </si>
  <si>
    <t>SERNAL</t>
  </si>
  <si>
    <t>MARCELINO</t>
  </si>
  <si>
    <t>TEODOSO</t>
  </si>
  <si>
    <t>ARMAN</t>
  </si>
  <si>
    <t>VILLA</t>
  </si>
  <si>
    <t>JAYHO</t>
  </si>
  <si>
    <t>VILLANO</t>
  </si>
  <si>
    <t>JOHAN</t>
  </si>
  <si>
    <t>VILLANUEVA</t>
  </si>
  <si>
    <t>MARS</t>
  </si>
  <si>
    <t>JEYRA</t>
  </si>
  <si>
    <t>ARIADEN</t>
  </si>
  <si>
    <t>CHARMELYN</t>
  </si>
  <si>
    <t>BALASA</t>
  </si>
  <si>
    <t>LOURAINE</t>
  </si>
  <si>
    <t>BELO</t>
  </si>
  <si>
    <t>MYLENE</t>
  </si>
  <si>
    <t xml:space="preserve">ANGEL </t>
  </si>
  <si>
    <t>ALYKA MAE</t>
  </si>
  <si>
    <t>DINSON</t>
  </si>
  <si>
    <t>MITCHELY</t>
  </si>
  <si>
    <t>JORDAN</t>
  </si>
  <si>
    <t>ZYREILLE</t>
  </si>
  <si>
    <t>no account details</t>
  </si>
  <si>
    <t>PIANAR</t>
  </si>
  <si>
    <t>KATRINA LOURAINE</t>
  </si>
  <si>
    <t>REBADA</t>
  </si>
  <si>
    <t>ROSAS</t>
  </si>
  <si>
    <t>RYZA</t>
  </si>
  <si>
    <t>SANAP</t>
  </si>
  <si>
    <t>DANICA REGZ</t>
  </si>
  <si>
    <t>SINCERO</t>
  </si>
  <si>
    <t>SHENA GRACE</t>
  </si>
  <si>
    <t>TUMABIENE</t>
  </si>
  <si>
    <t>ALTHEA</t>
  </si>
  <si>
    <t>NCAE STUDENT DATA - BURGOS NHS</t>
  </si>
  <si>
    <t>JUSTICE</t>
  </si>
  <si>
    <t>BASCO</t>
  </si>
  <si>
    <t>REMART</t>
  </si>
  <si>
    <t>BATANGAS</t>
  </si>
  <si>
    <t>JEFFERSON</t>
  </si>
  <si>
    <t>BESA</t>
  </si>
  <si>
    <t>EDRIE</t>
  </si>
  <si>
    <t>BORDA</t>
  </si>
  <si>
    <t>CLERT</t>
  </si>
  <si>
    <t>CABRERA</t>
  </si>
  <si>
    <t>ROLAN</t>
  </si>
  <si>
    <t>COLOMA</t>
  </si>
  <si>
    <t>DOMINIC</t>
  </si>
  <si>
    <t>H</t>
  </si>
  <si>
    <t>COMAWAS</t>
  </si>
  <si>
    <t>RUZZEL</t>
  </si>
  <si>
    <t>JASARENO</t>
  </si>
  <si>
    <t>RAMIER</t>
  </si>
  <si>
    <t>JAVAS, ACE</t>
  </si>
  <si>
    <t>ACE</t>
  </si>
  <si>
    <t>LEGARDE</t>
  </si>
  <si>
    <t>KYLE CHRISTIAN</t>
  </si>
  <si>
    <t>MANZANARES</t>
  </si>
  <si>
    <t>CRIS</t>
  </si>
  <si>
    <t>MARAVILLA</t>
  </si>
  <si>
    <t>ZYKE</t>
  </si>
  <si>
    <t>MARU</t>
  </si>
  <si>
    <t>JESSIE ALBERT</t>
  </si>
  <si>
    <t>NARVARTE</t>
  </si>
  <si>
    <t>RUZZEL DANE</t>
  </si>
  <si>
    <t>NERIO</t>
  </si>
  <si>
    <t>REGIE</t>
  </si>
  <si>
    <t>SALVADOR</t>
  </si>
  <si>
    <t>ZHYMONE LEVONNE</t>
  </si>
  <si>
    <t>SININING</t>
  </si>
  <si>
    <t>CEJU JADE</t>
  </si>
  <si>
    <t>VICTORIANO</t>
  </si>
  <si>
    <t>KEAN</t>
  </si>
  <si>
    <t>WACAN</t>
  </si>
  <si>
    <t>CARL WINDER</t>
  </si>
  <si>
    <t>ALVAREZ</t>
  </si>
  <si>
    <t>MARY ANGIELYN</t>
  </si>
  <si>
    <t>ARBIAS</t>
  </si>
  <si>
    <t>JONAMAE</t>
  </si>
  <si>
    <t>BEJEMINO</t>
  </si>
  <si>
    <t>SHARMEL</t>
  </si>
  <si>
    <t>CUEVAS</t>
  </si>
  <si>
    <t>ERICH</t>
  </si>
  <si>
    <t>DIANALA</t>
  </si>
  <si>
    <t>VEUNCY</t>
  </si>
  <si>
    <t>DOMINGO</t>
  </si>
  <si>
    <t>NYRIEL MAE</t>
  </si>
  <si>
    <t>JOVELYN</t>
  </si>
  <si>
    <t>PERALTA</t>
  </si>
  <si>
    <t>PRINCESS MARIE</t>
  </si>
  <si>
    <t>SELGA</t>
  </si>
  <si>
    <t>DEXEAH LAINE</t>
  </si>
  <si>
    <t>SENCIO</t>
  </si>
  <si>
    <t>RECHEL</t>
  </si>
  <si>
    <t>SILOT</t>
  </si>
  <si>
    <t>CYRA</t>
  </si>
  <si>
    <t>VILLEGAS</t>
  </si>
  <si>
    <t>SARAH JANE</t>
  </si>
  <si>
    <t>PRUDENCE</t>
  </si>
  <si>
    <t>ARANGUEZ</t>
  </si>
  <si>
    <t>ZAI JAN</t>
  </si>
  <si>
    <t>BELA</t>
  </si>
  <si>
    <t>ELDIN</t>
  </si>
  <si>
    <t>CASTILLANO</t>
  </si>
  <si>
    <t>FRENCH</t>
  </si>
  <si>
    <t>ENECILLO</t>
  </si>
  <si>
    <t>JOSEPH JOEHAN</t>
  </si>
  <si>
    <t>GELLO-AGAN</t>
  </si>
  <si>
    <t>INOCENCIO</t>
  </si>
  <si>
    <t>ARNEL</t>
  </si>
  <si>
    <t>KANG</t>
  </si>
  <si>
    <t>JAKE SUHAN</t>
  </si>
  <si>
    <t>LONGNO</t>
  </si>
  <si>
    <t>LORINZ</t>
  </si>
  <si>
    <t>OÑATES</t>
  </si>
  <si>
    <t>MARJUN</t>
  </si>
  <si>
    <t>PACUMBA</t>
  </si>
  <si>
    <t>EJEAN CRIS</t>
  </si>
  <si>
    <t>PATRICIO</t>
  </si>
  <si>
    <t>DG</t>
  </si>
  <si>
    <t>APURA</t>
  </si>
  <si>
    <t>THERESE MARIE</t>
  </si>
  <si>
    <t>PRINCES CHLOE</t>
  </si>
  <si>
    <t>BAQUIRIZA</t>
  </si>
  <si>
    <t>TRISHIA MAE</t>
  </si>
  <si>
    <t>JESSA</t>
  </si>
  <si>
    <t>BENCI</t>
  </si>
  <si>
    <t>ARIAN NICOLE</t>
  </si>
  <si>
    <t>CASTANDIELLO</t>
  </si>
  <si>
    <t>MARCHELLA MIE</t>
  </si>
  <si>
    <t>CELIS</t>
  </si>
  <si>
    <t>HERNALYN</t>
  </si>
  <si>
    <t>JIEHAD</t>
  </si>
  <si>
    <t>KRISTINE MARIE</t>
  </si>
  <si>
    <t>DOMADIEGO</t>
  </si>
  <si>
    <t>MILROSE</t>
  </si>
  <si>
    <t>ESCALA</t>
  </si>
  <si>
    <t>GLORY MAE</t>
  </si>
  <si>
    <t>FERRER</t>
  </si>
  <si>
    <t>KRISHA MARIE</t>
  </si>
  <si>
    <t>W</t>
  </si>
  <si>
    <t>ISON</t>
  </si>
  <si>
    <t>MARY JOY</t>
  </si>
  <si>
    <t>JAVA</t>
  </si>
  <si>
    <t>GERALDEN</t>
  </si>
  <si>
    <t>MA LUNA</t>
  </si>
  <si>
    <t>PARAN</t>
  </si>
  <si>
    <t>TINGGA</t>
  </si>
  <si>
    <t>JANINE</t>
  </si>
  <si>
    <t>VERGARA</t>
  </si>
  <si>
    <t>JEZZA MAE</t>
  </si>
  <si>
    <t>YULO</t>
  </si>
  <si>
    <t>ARAMIE</t>
  </si>
  <si>
    <t>NCAE STUDENT DATA - CADIZ VIEJO NHS</t>
  </si>
  <si>
    <t>10-Amethyst</t>
  </si>
  <si>
    <t>ABONALES</t>
  </si>
  <si>
    <t>ASUNAN</t>
  </si>
  <si>
    <t>JUN ENZO</t>
  </si>
  <si>
    <t>BANCAYAN</t>
  </si>
  <si>
    <t>RODGEN</t>
  </si>
  <si>
    <t>CANOY</t>
  </si>
  <si>
    <t>KHRIST GABRIEL</t>
  </si>
  <si>
    <t>CARABAÑA</t>
  </si>
  <si>
    <t>LANCE ANDRIE</t>
  </si>
  <si>
    <t>-.</t>
  </si>
  <si>
    <t>DAQUE</t>
  </si>
  <si>
    <t>SAM</t>
  </si>
  <si>
    <t>DINGSON</t>
  </si>
  <si>
    <t>JHON KENNETH</t>
  </si>
  <si>
    <t>GARGANERA</t>
  </si>
  <si>
    <t>JAMES XANDER</t>
  </si>
  <si>
    <t>MAGATILA</t>
  </si>
  <si>
    <t>RANIE DAVE</t>
  </si>
  <si>
    <t>PONTINO</t>
  </si>
  <si>
    <t>LALMERCK</t>
  </si>
  <si>
    <t>TROCIO</t>
  </si>
  <si>
    <t>NIÑO</t>
  </si>
  <si>
    <t>VITO</t>
  </si>
  <si>
    <t>ROMEO III</t>
  </si>
  <si>
    <t>ARROYO</t>
  </si>
  <si>
    <t>PRINCESS</t>
  </si>
  <si>
    <t>CARATAO</t>
  </si>
  <si>
    <t>ARYLLE MIEL</t>
  </si>
  <si>
    <t>CARRILLO</t>
  </si>
  <si>
    <t>SHAIRA</t>
  </si>
  <si>
    <t>DARUNDAY</t>
  </si>
  <si>
    <t>KIZIAH JAN MARI</t>
  </si>
  <si>
    <t>ELLA JANEL</t>
  </si>
  <si>
    <t>DOZA</t>
  </si>
  <si>
    <t>PRINCESS NICOLE</t>
  </si>
  <si>
    <t>INGGASCA</t>
  </si>
  <si>
    <t>ANDREA NICOLE</t>
  </si>
  <si>
    <t>JANILA</t>
  </si>
  <si>
    <t>DENNISE LOREINNE</t>
  </si>
  <si>
    <t>PANDAY</t>
  </si>
  <si>
    <t>ANGELICA MAE</t>
  </si>
  <si>
    <t>NALMERCK</t>
  </si>
  <si>
    <t>PREMENGGAN</t>
  </si>
  <si>
    <t>KYLA</t>
  </si>
  <si>
    <t>SERAPINO</t>
  </si>
  <si>
    <t>ROSE MARIE CLAIRE</t>
  </si>
  <si>
    <t>SULMAYOR</t>
  </si>
  <si>
    <t>JUNALYN</t>
  </si>
  <si>
    <t>TULOD</t>
  </si>
  <si>
    <t>ALYANA</t>
  </si>
  <si>
    <t>VIDAL</t>
  </si>
  <si>
    <t>HALLEY MARIE</t>
  </si>
  <si>
    <t>10-Onyx</t>
  </si>
  <si>
    <t>ALBORO</t>
  </si>
  <si>
    <t>ROLDAN</t>
  </si>
  <si>
    <t>ARELLANO</t>
  </si>
  <si>
    <t>MIKE VINCENT</t>
  </si>
  <si>
    <t>ARESGADO</t>
  </si>
  <si>
    <t>BRYLLE EDWARD</t>
  </si>
  <si>
    <t>HERMIS</t>
  </si>
  <si>
    <t>FRANCISCO</t>
  </si>
  <si>
    <t>RONEL</t>
  </si>
  <si>
    <t>GILARMAN</t>
  </si>
  <si>
    <t>JOHN DAVE</t>
  </si>
  <si>
    <t>JHON BRIX</t>
  </si>
  <si>
    <t>T.</t>
  </si>
  <si>
    <t>LESTER JOHN</t>
  </si>
  <si>
    <t>CHARRY</t>
  </si>
  <si>
    <t>SALES</t>
  </si>
  <si>
    <t>BOBBY</t>
  </si>
  <si>
    <t>SARA</t>
  </si>
  <si>
    <t>RAYMUNDO</t>
  </si>
  <si>
    <t>SATINITIGAN</t>
  </si>
  <si>
    <t>Q.</t>
  </si>
  <si>
    <t>SENINING</t>
  </si>
  <si>
    <t>ALDRIN MARK</t>
  </si>
  <si>
    <t>GERALD JR</t>
  </si>
  <si>
    <t>SINCO</t>
  </si>
  <si>
    <t>LOREJUN</t>
  </si>
  <si>
    <t>TEMPLADO</t>
  </si>
  <si>
    <t>ERNAN JOY</t>
  </si>
  <si>
    <t>JOERGE JR</t>
  </si>
  <si>
    <t>BADOY</t>
  </si>
  <si>
    <t>JULIE-ANN</t>
  </si>
  <si>
    <t>L.</t>
  </si>
  <si>
    <t>BARNESO</t>
  </si>
  <si>
    <t>JAY ANNE</t>
  </si>
  <si>
    <t>CARANZO</t>
  </si>
  <si>
    <t>CHARMEN HOPE</t>
  </si>
  <si>
    <t>DAVID</t>
  </si>
  <si>
    <t>KERSHEY</t>
  </si>
  <si>
    <t>KEYCHELLE</t>
  </si>
  <si>
    <t>ANNAFIE</t>
  </si>
  <si>
    <t>GOMEZ</t>
  </si>
  <si>
    <t>TRISHA ANN</t>
  </si>
  <si>
    <t>HAMINE</t>
  </si>
  <si>
    <t>JASMINE</t>
  </si>
  <si>
    <t>MAGALAMAY</t>
  </si>
  <si>
    <t>ROSE ANN</t>
  </si>
  <si>
    <t>SOLIN</t>
  </si>
  <si>
    <t>CRISTINE</t>
  </si>
  <si>
    <t>10-Sapphire</t>
  </si>
  <si>
    <t>ALARDE</t>
  </si>
  <si>
    <t>ARIEL</t>
  </si>
  <si>
    <t>BANTILLO</t>
  </si>
  <si>
    <t>SHEDRIC</t>
  </si>
  <si>
    <t>BARBON</t>
  </si>
  <si>
    <t>SAMUEL LAWRENCE</t>
  </si>
  <si>
    <t>BEIRA</t>
  </si>
  <si>
    <t>JAMES BENEDICT</t>
  </si>
  <si>
    <t>BENASBAS</t>
  </si>
  <si>
    <t>MARK LEO</t>
  </si>
  <si>
    <t>DE LA CRUZ</t>
  </si>
  <si>
    <t>RUDY</t>
  </si>
  <si>
    <t>SEAN JEZRELLE</t>
  </si>
  <si>
    <t>DIVINAGRACIA</t>
  </si>
  <si>
    <t>SERGE GIAN</t>
  </si>
  <si>
    <t>JUMANGUIN</t>
  </si>
  <si>
    <t>KRISHNA</t>
  </si>
  <si>
    <t>JUNTILLA</t>
  </si>
  <si>
    <t>SHONE GIO</t>
  </si>
  <si>
    <t>JOEFEL</t>
  </si>
  <si>
    <t>NERI</t>
  </si>
  <si>
    <t>ARLO JR</t>
  </si>
  <si>
    <t>NOMABOS</t>
  </si>
  <si>
    <t>REYMART</t>
  </si>
  <si>
    <t>PESTOLANTE</t>
  </si>
  <si>
    <t>MARK JOEL</t>
  </si>
  <si>
    <t>SOLON</t>
  </si>
  <si>
    <t>ALBERIO</t>
  </si>
  <si>
    <t>RIELYN</t>
  </si>
  <si>
    <t>CONSERMAN</t>
  </si>
  <si>
    <t>ANGEL ROSE</t>
  </si>
  <si>
    <t>CHERY MAE</t>
  </si>
  <si>
    <t>EMBAJADOR</t>
  </si>
  <si>
    <t>STEPHANIE JOY</t>
  </si>
  <si>
    <t>PRECIOUS JOY</t>
  </si>
  <si>
    <t>JISSA MAE</t>
  </si>
  <si>
    <t>NUÑEZ</t>
  </si>
  <si>
    <t>DANNICA MAE</t>
  </si>
  <si>
    <t>ANGELA MARIE</t>
  </si>
  <si>
    <t>JUNNALEN</t>
  </si>
  <si>
    <t>TION</t>
  </si>
  <si>
    <t>SHEKAINA ASHLEY</t>
  </si>
  <si>
    <t>VERAN</t>
  </si>
  <si>
    <t>JESSA MAE</t>
  </si>
  <si>
    <t>NCAE STUDENT DATA - CADUHAAN NHS</t>
  </si>
  <si>
    <t>KINDNESS</t>
  </si>
  <si>
    <t>ARDALES</t>
  </si>
  <si>
    <t>DERVIN REIGH</t>
  </si>
  <si>
    <t>DE ASIS</t>
  </si>
  <si>
    <t>JOHN GABRIEL</t>
  </si>
  <si>
    <t>MARCO</t>
  </si>
  <si>
    <t>DOMO</t>
  </si>
  <si>
    <t>RYNEL</t>
  </si>
  <si>
    <t>JULIAN</t>
  </si>
  <si>
    <t>DWAYNE MILLER</t>
  </si>
  <si>
    <t>NAVARRO</t>
  </si>
  <si>
    <t>ROY</t>
  </si>
  <si>
    <t>ORETA</t>
  </si>
  <si>
    <t>REMAR</t>
  </si>
  <si>
    <t>PASTORILLO</t>
  </si>
  <si>
    <t>RHODIE JOHN JR</t>
  </si>
  <si>
    <t>PASTRANA</t>
  </si>
  <si>
    <t>CARLO</t>
  </si>
  <si>
    <t>ALIMANE</t>
  </si>
  <si>
    <t>ELLA MAE</t>
  </si>
  <si>
    <t>RODJELYN</t>
  </si>
  <si>
    <t>BALDERAS</t>
  </si>
  <si>
    <t>IZZY</t>
  </si>
  <si>
    <t>BAULITA</t>
  </si>
  <si>
    <t>RECHIEL</t>
  </si>
  <si>
    <t>JEHYAN KARYL</t>
  </si>
  <si>
    <t>U</t>
  </si>
  <si>
    <t>CAMPOSA</t>
  </si>
  <si>
    <t>JAY-ANN</t>
  </si>
  <si>
    <t>CASES</t>
  </si>
  <si>
    <t>PRINCESS EURI</t>
  </si>
  <si>
    <t>CONSTANTINO</t>
  </si>
  <si>
    <t>ABRIELLE ZAIJE</t>
  </si>
  <si>
    <t>DECHIMO</t>
  </si>
  <si>
    <t>FELICITY MIA</t>
  </si>
  <si>
    <t>DEROSA</t>
  </si>
  <si>
    <t>ALLYSA</t>
  </si>
  <si>
    <t>DIAZ</t>
  </si>
  <si>
    <t>CHRISHA JANE</t>
  </si>
  <si>
    <t>ESPORA</t>
  </si>
  <si>
    <t>ROSEJEAN</t>
  </si>
  <si>
    <t>O</t>
  </si>
  <si>
    <t>MELROSE</t>
  </si>
  <si>
    <t>GAJO</t>
  </si>
  <si>
    <t>AGNES</t>
  </si>
  <si>
    <t>PRINCESS ATHENA</t>
  </si>
  <si>
    <t>GELISANGA</t>
  </si>
  <si>
    <t>BEA</t>
  </si>
  <si>
    <t>NICOLE</t>
  </si>
  <si>
    <t>JAMERA</t>
  </si>
  <si>
    <t>JAMELLA</t>
  </si>
  <si>
    <t>MAIKEE</t>
  </si>
  <si>
    <t>LAMOSTRE</t>
  </si>
  <si>
    <t>LLAUDER</t>
  </si>
  <si>
    <t>LEO JEAN</t>
  </si>
  <si>
    <t>MAHIL</t>
  </si>
  <si>
    <t>RONNIE ANN</t>
  </si>
  <si>
    <t>MONTERO</t>
  </si>
  <si>
    <t>JENICA</t>
  </si>
  <si>
    <t>ROMERO</t>
  </si>
  <si>
    <t>KEZIAH</t>
  </si>
  <si>
    <t>SOLOMON</t>
  </si>
  <si>
    <t>CHARISE ANNE</t>
  </si>
  <si>
    <t>TUMBALE</t>
  </si>
  <si>
    <t>SAMANTHA</t>
  </si>
  <si>
    <t>VALENZUELA</t>
  </si>
  <si>
    <t>GLYDEL ANN</t>
  </si>
  <si>
    <t>DENINE JOY</t>
  </si>
  <si>
    <t>ASHLEE KATE</t>
  </si>
  <si>
    <t>AEYAH</t>
  </si>
  <si>
    <t>YSULAN</t>
  </si>
  <si>
    <t>MA. SHIRLEY</t>
  </si>
  <si>
    <t>CHASTITY</t>
  </si>
  <si>
    <t>ANDALECIO</t>
  </si>
  <si>
    <t>JAKE</t>
  </si>
  <si>
    <t>BAROA</t>
  </si>
  <si>
    <t>GRIAN ANTHONY</t>
  </si>
  <si>
    <t>ENOPIA</t>
  </si>
  <si>
    <t>ARGIE MARC</t>
  </si>
  <si>
    <t>ESCRIBANO</t>
  </si>
  <si>
    <t>KENTH ASHLEY</t>
  </si>
  <si>
    <t>GANDIOLA</t>
  </si>
  <si>
    <t>JOHN LEHI</t>
  </si>
  <si>
    <t>GEROGALEM</t>
  </si>
  <si>
    <t>JAN CARLO</t>
  </si>
  <si>
    <t>LAGUNA</t>
  </si>
  <si>
    <t>PAOLO JAY</t>
  </si>
  <si>
    <t>LESONDATO</t>
  </si>
  <si>
    <t>KURT ACCEL</t>
  </si>
  <si>
    <t>MACLARENCE</t>
  </si>
  <si>
    <t>TAYO</t>
  </si>
  <si>
    <t>JASUN</t>
  </si>
  <si>
    <t>TERUEL</t>
  </si>
  <si>
    <t>GERALD</t>
  </si>
  <si>
    <t>TRINIDAD</t>
  </si>
  <si>
    <t>RENZELL</t>
  </si>
  <si>
    <t>ABONG</t>
  </si>
  <si>
    <t>TEFANY</t>
  </si>
  <si>
    <t>AMARANTE</t>
  </si>
  <si>
    <t>BRESIS</t>
  </si>
  <si>
    <t>ERICA</t>
  </si>
  <si>
    <t>GENEBEV</t>
  </si>
  <si>
    <t>BOLTRON</t>
  </si>
  <si>
    <t>ANDRHEA NICOLE</t>
  </si>
  <si>
    <t>CENETA</t>
  </si>
  <si>
    <t>JASMIN</t>
  </si>
  <si>
    <t>CONDEMILICOR</t>
  </si>
  <si>
    <t>RICHIELYN</t>
  </si>
  <si>
    <t>DEDAL</t>
  </si>
  <si>
    <t>IRESELL SHANNEL</t>
  </si>
  <si>
    <t>DIGNADICE</t>
  </si>
  <si>
    <t>JEAN MARIE</t>
  </si>
  <si>
    <t>GUEEN</t>
  </si>
  <si>
    <t>ESPIRIDA</t>
  </si>
  <si>
    <t>SHAYNE MARIE</t>
  </si>
  <si>
    <t>EUSEBIO</t>
  </si>
  <si>
    <t>FOGATA</t>
  </si>
  <si>
    <t>JANIYAH NIKKA</t>
  </si>
  <si>
    <t>MARY GRACE</t>
  </si>
  <si>
    <t>SOPHIA</t>
  </si>
  <si>
    <t>JAVIER</t>
  </si>
  <si>
    <t>REMA</t>
  </si>
  <si>
    <t>CHOLEEN GRACE</t>
  </si>
  <si>
    <t>LANOTES</t>
  </si>
  <si>
    <t>JAIRA</t>
  </si>
  <si>
    <t>LOBATON</t>
  </si>
  <si>
    <t>VALERIE HEART</t>
  </si>
  <si>
    <t>LOMOGDA</t>
  </si>
  <si>
    <t>MARPA</t>
  </si>
  <si>
    <t>SKY</t>
  </si>
  <si>
    <t>CRISHA ANN</t>
  </si>
  <si>
    <t>RAZONABLE</t>
  </si>
  <si>
    <t>JESICA</t>
  </si>
  <si>
    <t>REBOJO</t>
  </si>
  <si>
    <t>XYRIEL MAE</t>
  </si>
  <si>
    <t>TOMBOCON</t>
  </si>
  <si>
    <t>RIA JEAN</t>
  </si>
  <si>
    <t>VILLAREIZ</t>
  </si>
  <si>
    <t>JAILLA MAXINE</t>
  </si>
  <si>
    <t>VILLAS</t>
  </si>
  <si>
    <t>SHALANI</t>
  </si>
  <si>
    <t>HONESTY</t>
  </si>
  <si>
    <t>BALALIHE</t>
  </si>
  <si>
    <t>JIMAR</t>
  </si>
  <si>
    <t>BARZO</t>
  </si>
  <si>
    <t>MATEO JAY</t>
  </si>
  <si>
    <t>DEL ROSARIO</t>
  </si>
  <si>
    <t>DIAROZ</t>
  </si>
  <si>
    <t>KIAN GABRIEL</t>
  </si>
  <si>
    <t>ESMEDIA</t>
  </si>
  <si>
    <t>EDJHUN</t>
  </si>
  <si>
    <t>ESPAÑOLA</t>
  </si>
  <si>
    <t>NELSON</t>
  </si>
  <si>
    <t>GARITO</t>
  </si>
  <si>
    <t>CHARLES</t>
  </si>
  <si>
    <t>GERASMIA</t>
  </si>
  <si>
    <t>ELMAN MARK</t>
  </si>
  <si>
    <t>JABAYBAY</t>
  </si>
  <si>
    <t>JAYAWON</t>
  </si>
  <si>
    <t>KOSHY</t>
  </si>
  <si>
    <t>ASHLEY XIAN</t>
  </si>
  <si>
    <t>LECITA</t>
  </si>
  <si>
    <t>RAYMART JOHN</t>
  </si>
  <si>
    <t>MARCOS</t>
  </si>
  <si>
    <t>JOHN KARL</t>
  </si>
  <si>
    <t>MONSAY</t>
  </si>
  <si>
    <t>NEPOMUCENO</t>
  </si>
  <si>
    <t>CRISHER</t>
  </si>
  <si>
    <t>PESCADOR</t>
  </si>
  <si>
    <t>AEDAN ROSS</t>
  </si>
  <si>
    <t>PIDOY</t>
  </si>
  <si>
    <t>RENMART</t>
  </si>
  <si>
    <t>RIVERA</t>
  </si>
  <si>
    <t>EDGARDO JR.</t>
  </si>
  <si>
    <t>SANTANDER</t>
  </si>
  <si>
    <t>RUSH JAY</t>
  </si>
  <si>
    <t>SASTRE</t>
  </si>
  <si>
    <t>JOHN ROBERT</t>
  </si>
  <si>
    <t>SEVERINO</t>
  </si>
  <si>
    <t>JARRED ED</t>
  </si>
  <si>
    <t>SISON</t>
  </si>
  <si>
    <t>JOHN MARK</t>
  </si>
  <si>
    <t>VALIENTE</t>
  </si>
  <si>
    <t>KYLE BRENT</t>
  </si>
  <si>
    <t>AGUILAR</t>
  </si>
  <si>
    <t>VANNA LYN</t>
  </si>
  <si>
    <t>BURATA</t>
  </si>
  <si>
    <t>HERSHEY</t>
  </si>
  <si>
    <t>CANAREJO</t>
  </si>
  <si>
    <t>JANICA MAE</t>
  </si>
  <si>
    <t>FLOREZA</t>
  </si>
  <si>
    <t>ASHLYN NICOLE</t>
  </si>
  <si>
    <t>FUENTESPINA</t>
  </si>
  <si>
    <t>JOWELLA</t>
  </si>
  <si>
    <t>GRANDE</t>
  </si>
  <si>
    <t>JESANA</t>
  </si>
  <si>
    <t>LIESLY ALTHEA</t>
  </si>
  <si>
    <t>MORALES</t>
  </si>
  <si>
    <t>JISA</t>
  </si>
  <si>
    <t>NORICO</t>
  </si>
  <si>
    <t>ORTEGA</t>
  </si>
  <si>
    <t>MARIVEL</t>
  </si>
  <si>
    <t>PAGLOMUTAN</t>
  </si>
  <si>
    <t>JOVILLE</t>
  </si>
  <si>
    <t>SALBATUNA</t>
  </si>
  <si>
    <t xml:space="preserve">ARIAN </t>
  </si>
  <si>
    <t>ELIAKIM</t>
  </si>
  <si>
    <t>RIZZA MAE</t>
  </si>
  <si>
    <t>SUGIRAN</t>
  </si>
  <si>
    <t>CRISSA JOY</t>
  </si>
  <si>
    <t>COURAGE</t>
  </si>
  <si>
    <t>ALITO</t>
  </si>
  <si>
    <t>JOEY</t>
  </si>
  <si>
    <t>136742160202@r6-1.deped.gov.ph</t>
  </si>
  <si>
    <t>BA-AY</t>
  </si>
  <si>
    <t>RJAY</t>
  </si>
  <si>
    <t>117573150021@r6-1.deped.gov.ph</t>
  </si>
  <si>
    <t>BEDICO</t>
  </si>
  <si>
    <t>RIZNEL JOHH</t>
  </si>
  <si>
    <t>117244150048@r6-1.deped.gov.ph</t>
  </si>
  <si>
    <t>BIENE</t>
  </si>
  <si>
    <t>YRO</t>
  </si>
  <si>
    <t>117566150002@r6-1.deped.gov.ph</t>
  </si>
  <si>
    <t>BITAR</t>
  </si>
  <si>
    <t>REIAN</t>
  </si>
  <si>
    <t>117570150029@r6-1.deped.gov.ph</t>
  </si>
  <si>
    <t>BUENAFE</t>
  </si>
  <si>
    <t>SANTINO</t>
  </si>
  <si>
    <t>117244150005@r6-1.deped.gov.ph</t>
  </si>
  <si>
    <t>CELIZ</t>
  </si>
  <si>
    <t>FRITZ BRYAN</t>
  </si>
  <si>
    <t>117885150023@r6-1.deped.gov.ph</t>
  </si>
  <si>
    <t>ENGILBERT</t>
  </si>
  <si>
    <t>117563130084@r6-1.deped.gov.ph</t>
  </si>
  <si>
    <t>GARDOSE</t>
  </si>
  <si>
    <t>117574150015@r6-1.deped.gov.ph</t>
  </si>
  <si>
    <t>ZHENKIE</t>
  </si>
  <si>
    <t>117570150035@r6-1.deped.gov.ph</t>
  </si>
  <si>
    <t>JUNO</t>
  </si>
  <si>
    <t>GIANN</t>
  </si>
  <si>
    <t>117573150040@r6-1.deped.gov.ph</t>
  </si>
  <si>
    <t>JUSAYAN</t>
  </si>
  <si>
    <t>JHON MARK</t>
  </si>
  <si>
    <t>117578150031@r6-1.deped.gov.ph</t>
  </si>
  <si>
    <t>LABRADOR</t>
  </si>
  <si>
    <t>JESTONI</t>
  </si>
  <si>
    <t>117573140094@r6-1.deped.gov.ph</t>
  </si>
  <si>
    <t>MALIGDONG</t>
  </si>
  <si>
    <t>JOHN ASHLI</t>
  </si>
  <si>
    <t>117570150010@r6-1.deped.gov.ph</t>
  </si>
  <si>
    <t>OLAYBAR</t>
  </si>
  <si>
    <t>RHYZEL</t>
  </si>
  <si>
    <t>117570150038@r6-1.deped.gov.ph</t>
  </si>
  <si>
    <t>LEE MARCUS</t>
  </si>
  <si>
    <t>117573150049@r6-1.deped.gov.ph</t>
  </si>
  <si>
    <t>PONCE</t>
  </si>
  <si>
    <t>JHON JOSEPH</t>
  </si>
  <si>
    <t>117578150015@r6-1.deped.gov.ph</t>
  </si>
  <si>
    <t>RAINER</t>
  </si>
  <si>
    <t>117249150034@r6-1.deped.gov.ph</t>
  </si>
  <si>
    <t>RENDON</t>
  </si>
  <si>
    <t>ANDRIAN</t>
  </si>
  <si>
    <t>117563150010@r6-1.deped.gov.ph</t>
  </si>
  <si>
    <t>RIBON</t>
  </si>
  <si>
    <t>JEAREMY</t>
  </si>
  <si>
    <t>117573150077@r6-1.deped.gov.ph</t>
  </si>
  <si>
    <t>RENIEL</t>
  </si>
  <si>
    <t>117573150080@r6-1.deped.gov.ph</t>
  </si>
  <si>
    <t>MICHAEL IAN</t>
  </si>
  <si>
    <t>117254140017@r6-1.deped.gov.ph</t>
  </si>
  <si>
    <t>GEM RAINER</t>
  </si>
  <si>
    <t>117244150066@r6-1.deped.gov.ph</t>
  </si>
  <si>
    <t>TERANIA</t>
  </si>
  <si>
    <t>REINIER GLENN</t>
  </si>
  <si>
    <t>117563150080@r6-1.deped.gov.ph</t>
  </si>
  <si>
    <t>VINCE ALDY</t>
  </si>
  <si>
    <t>117574150056@r6-1.deped.gov.ph</t>
  </si>
  <si>
    <t>ZONITA</t>
  </si>
  <si>
    <t>LORENCE</t>
  </si>
  <si>
    <t>117573120091@r6-1.deped.gov.ph</t>
  </si>
  <si>
    <t>ALIBUTDAN</t>
  </si>
  <si>
    <t>ALEJANDRA</t>
  </si>
  <si>
    <t>117250150082@r6-1.deped.gov.ph</t>
  </si>
  <si>
    <t>ARCEJO</t>
  </si>
  <si>
    <t>117244150069@r6-1.deped.gov.ph</t>
  </si>
  <si>
    <t>BENGGAN</t>
  </si>
  <si>
    <t>SAMANTHA MARIE</t>
  </si>
  <si>
    <t>117244150029@r6-1.deped.gov.ph</t>
  </si>
  <si>
    <t>BESIYOS</t>
  </si>
  <si>
    <t>CLAIRE</t>
  </si>
  <si>
    <t>117565150016@r6-1.deped.gov.ph</t>
  </si>
  <si>
    <t>COLONA</t>
  </si>
  <si>
    <t>KRESTIL ANN</t>
  </si>
  <si>
    <t>117250150060@r6-1.deped.gov.ph</t>
  </si>
  <si>
    <t>DALMACIO</t>
  </si>
  <si>
    <t>JULIAN DENISE</t>
  </si>
  <si>
    <t>117489160322@r6-1.deped.gov.ph</t>
  </si>
  <si>
    <t>117574150037@r6-1.deped.gov.ph</t>
  </si>
  <si>
    <t>JAMAICA JOY</t>
  </si>
  <si>
    <t>117578160014@r6-1.deped.gov.ph</t>
  </si>
  <si>
    <t>LADRILLO</t>
  </si>
  <si>
    <t>MEGAN JOY</t>
  </si>
  <si>
    <t>117244150034@r6-1.deped.gov.ph</t>
  </si>
  <si>
    <t>LANADA</t>
  </si>
  <si>
    <t>JUDILYN</t>
  </si>
  <si>
    <t>117244150035@r6-1.deped.gov.ph</t>
  </si>
  <si>
    <t>117244150078@r6-1.deped.gov.ph</t>
  </si>
  <si>
    <t>SANJOROJO</t>
  </si>
  <si>
    <t>RACHELLE</t>
  </si>
  <si>
    <t>117722150066@r6-1.deped.gov.ph</t>
  </si>
  <si>
    <t>SEBALLOS</t>
  </si>
  <si>
    <t>JANYL</t>
  </si>
  <si>
    <t>117243140052@r6-1.deped.gov.ph</t>
  </si>
  <si>
    <t>TAPALLA</t>
  </si>
  <si>
    <t>ALYZA</t>
  </si>
  <si>
    <t>117573150108@r6-1.deped.gov.ph</t>
  </si>
  <si>
    <t>VALDEVIESO</t>
  </si>
  <si>
    <t>RHEA MAE</t>
  </si>
  <si>
    <t>117478150059@r6-1.deped.gov.ph</t>
  </si>
  <si>
    <t>APRIL ROSE</t>
  </si>
  <si>
    <t>117574150076@r6-1.deped.gov.ph</t>
  </si>
  <si>
    <t>UNITY</t>
  </si>
  <si>
    <t>AMANTE</t>
  </si>
  <si>
    <t>LOMER</t>
  </si>
  <si>
    <t>117244150047@r6-1.deped.gov.ph</t>
  </si>
  <si>
    <t>ATIENZA</t>
  </si>
  <si>
    <t>HANZ ROBERT</t>
  </si>
  <si>
    <t>109537141095@r6-1.deped.gov.ph</t>
  </si>
  <si>
    <t>BETITA</t>
  </si>
  <si>
    <t>SAM JERISH</t>
  </si>
  <si>
    <t>117446140057@r6-1.deped.gov.ph</t>
  </si>
  <si>
    <t>JOHNREAL</t>
  </si>
  <si>
    <t>117579150049@r6-1.deped.gov.ph</t>
  </si>
  <si>
    <t>CABODELLO</t>
  </si>
  <si>
    <t>JAKE LAWRENCE</t>
  </si>
  <si>
    <t>117567150086@r6-1.deped.gov.ph</t>
  </si>
  <si>
    <t>CANTERO</t>
  </si>
  <si>
    <t>EDWIN</t>
  </si>
  <si>
    <t>117579130032@r6-1.deped.gov.ph</t>
  </si>
  <si>
    <t>JAYZEYA</t>
  </si>
  <si>
    <t>117573160006@r6-1.deped.gov.ph</t>
  </si>
  <si>
    <t>DAGUIO</t>
  </si>
  <si>
    <t>PRINCE ARDI</t>
  </si>
  <si>
    <t>117573150026@r6-1.deped.gov.ph</t>
  </si>
  <si>
    <t>DEMETAIZ</t>
  </si>
  <si>
    <t>KENJIE</t>
  </si>
  <si>
    <t>117244150044@r6-1.deped.gov.ph</t>
  </si>
  <si>
    <t>DESPUES</t>
  </si>
  <si>
    <t>CHRIS JOHN</t>
  </si>
  <si>
    <t>117578140026@r6-1.deped.gov.ph</t>
  </si>
  <si>
    <t>DESTRIZA</t>
  </si>
  <si>
    <t>DEVIE JHON</t>
  </si>
  <si>
    <t>117566130005@r6-1.deped.gov.ph</t>
  </si>
  <si>
    <t>EDSEL DANE</t>
  </si>
  <si>
    <t>117250150044@r6-1.deped.gov.ph</t>
  </si>
  <si>
    <t>DONGUINES</t>
  </si>
  <si>
    <t>117573130038@r6-1.deped.gov.ph</t>
  </si>
  <si>
    <t>DONO</t>
  </si>
  <si>
    <t>SHEIN</t>
  </si>
  <si>
    <t>117563150068@r6-1.deped.gov.ph</t>
  </si>
  <si>
    <t>DORONA</t>
  </si>
  <si>
    <t>REDEN</t>
  </si>
  <si>
    <t>117573160008@r6-1.deped.gov.ph</t>
  </si>
  <si>
    <t>EPACTA</t>
  </si>
  <si>
    <t>117573150033@r6-1.deped.gov.ph</t>
  </si>
  <si>
    <t>JOHN FRANCIS</t>
  </si>
  <si>
    <t>117244150058@r6-1.deped.gov.ph</t>
  </si>
  <si>
    <t>GUDES</t>
  </si>
  <si>
    <t>CEE JAY</t>
  </si>
  <si>
    <t>117574150057@r6-1.deped.gov.ph</t>
  </si>
  <si>
    <t>HONRADO</t>
  </si>
  <si>
    <t>JOCER</t>
  </si>
  <si>
    <t>117719150034@r6-1.deped.gov.ph</t>
  </si>
  <si>
    <t>LAMAC</t>
  </si>
  <si>
    <t>JHONSON</t>
  </si>
  <si>
    <t>117567150007@r6-1.deped.gov.ph</t>
  </si>
  <si>
    <t>LOZADA</t>
  </si>
  <si>
    <t>RICKY</t>
  </si>
  <si>
    <t>117578130044@r6-1.deped.gov.ph</t>
  </si>
  <si>
    <t>MALINAO</t>
  </si>
  <si>
    <t>BRENT</t>
  </si>
  <si>
    <t>117488150098@r6-1.deped.gov.ph</t>
  </si>
  <si>
    <t>MERAIZ</t>
  </si>
  <si>
    <t>JHARED</t>
  </si>
  <si>
    <t>117573150046@r6-1.deped.gov.ph</t>
  </si>
  <si>
    <t>MIÑERVA</t>
  </si>
  <si>
    <t>117244130106@r6-1.deped.gov.ph</t>
  </si>
  <si>
    <t>RUCIA MIE</t>
  </si>
  <si>
    <t>117563150069@r6-1.deped.gov.ph</t>
  </si>
  <si>
    <t>BRITANIA</t>
  </si>
  <si>
    <t>ELYCA</t>
  </si>
  <si>
    <t>117563150043@r6-1.deped.gov.ph</t>
  </si>
  <si>
    <t>CABODILLO</t>
  </si>
  <si>
    <t>LOREN</t>
  </si>
  <si>
    <t>117530140041@r6-1.deped.gov.ph</t>
  </si>
  <si>
    <t>AYESHA MAE</t>
  </si>
  <si>
    <t>117577150008@r6-1.deped.gov.ph</t>
  </si>
  <si>
    <t>JOVELIEN</t>
  </si>
  <si>
    <t>117566150009@r6-1.deped.gov.ph</t>
  </si>
  <si>
    <t>DUETES</t>
  </si>
  <si>
    <t>HANNAH JANE</t>
  </si>
  <si>
    <t>117573150090@r6-1.deped.gov.ph</t>
  </si>
  <si>
    <t>FERNANDEZ</t>
  </si>
  <si>
    <t>ARLYN</t>
  </si>
  <si>
    <t>117578130055@r6-1.deped.gov.ph</t>
  </si>
  <si>
    <t>ALLEAH PEARL</t>
  </si>
  <si>
    <t>117574150036@r6-1.deped.gov.ph</t>
  </si>
  <si>
    <t>LYKA JEAN</t>
  </si>
  <si>
    <t>117573150094@r6-1.deped.gov.ph</t>
  </si>
  <si>
    <t>HEYRES</t>
  </si>
  <si>
    <t>ANN MARIE</t>
  </si>
  <si>
    <t>117567150060@r6-1.deped.gov.ph</t>
  </si>
  <si>
    <t>ASHLEY ZHEA</t>
  </si>
  <si>
    <t>117573150097@r6-1.deped.gov.ph</t>
  </si>
  <si>
    <t>ALHEA MAE</t>
  </si>
  <si>
    <t>117575150058@r6-1.deped.gov.ph</t>
  </si>
  <si>
    <t>PAMELA JANE</t>
  </si>
  <si>
    <t>117573150101@r6-1.deped.gov.ph</t>
  </si>
  <si>
    <t>LARDERO</t>
  </si>
  <si>
    <t>ANGEL MAE</t>
  </si>
  <si>
    <t>117244150036@r6-1.deped.gov.ph</t>
  </si>
  <si>
    <t>SALEM</t>
  </si>
  <si>
    <t>JOYLYN</t>
  </si>
  <si>
    <t>117244150039@r6-1.deped.gov.ph</t>
  </si>
  <si>
    <t>STEPHANIE</t>
  </si>
  <si>
    <t>117563150026@r6-1.deped.gov.ph</t>
  </si>
  <si>
    <t>PURITY</t>
  </si>
  <si>
    <t>BIENE,JONAS, LUMAWAG</t>
  </si>
  <si>
    <t>CALMA,LOUIEGIE, HASSAN</t>
  </si>
  <si>
    <t>CANTUA,DENES, CONAHAP</t>
  </si>
  <si>
    <t>CHAVEZ,RAFAEL, ANTIPOLO</t>
  </si>
  <si>
    <t>COLMO,GELLOR, FRANCO</t>
  </si>
  <si>
    <t>CUEVA,JHERIC JASPER, SUPUESCA</t>
  </si>
  <si>
    <t>DALIDA,ERRONE JEL, ESTANTE</t>
  </si>
  <si>
    <t>DELA VEGA,MARK ANGELO, BALDO</t>
  </si>
  <si>
    <t>ESTIOCO,JUSTINE, HUILA</t>
  </si>
  <si>
    <t>HERMOSO,AARON, MESIORADO</t>
  </si>
  <si>
    <t>HEYRES,RYAN, DALISAY</t>
  </si>
  <si>
    <t>JAYAWON,JOVIT, DINSON</t>
  </si>
  <si>
    <t>LOZADA,HARRY, JR VILLARITE</t>
  </si>
  <si>
    <t>MANATA,JHUN MART, SAGUBAY</t>
  </si>
  <si>
    <t>MANZO,EL-JAY, ARESGA</t>
  </si>
  <si>
    <t>NIERVES,DAVE, CABAHUG</t>
  </si>
  <si>
    <t>ONATES,RICO, PELAYO</t>
  </si>
  <si>
    <t>PALMA,JUSTINE KYLE, -</t>
  </si>
  <si>
    <t>PARADO,JAYJAY, LIBREL</t>
  </si>
  <si>
    <t>PARCON,RENE ANDREW, CARDINAL</t>
  </si>
  <si>
    <t>SABAYTON,CYRIL JHON, PARCON</t>
  </si>
  <si>
    <t>SALIPOD,JEREMY, FUENTEBELLA</t>
  </si>
  <si>
    <t>TICAR,KENNIEL BRETT, REPUSPOLO</t>
  </si>
  <si>
    <t>BARTE,JANDI, ARSULA</t>
  </si>
  <si>
    <t>BIENE,RHIAN, VILLANUEVA</t>
  </si>
  <si>
    <t>BORCE,JUNIKY, HAÑULA</t>
  </si>
  <si>
    <t>CARACAS,LORIE ANN, SALVADOR</t>
  </si>
  <si>
    <t>CARATAO,JELIAN MAE, ESPAÑOLA</t>
  </si>
  <si>
    <t>CAWIT,TRICIA NICOLE, CALAUNAN</t>
  </si>
  <si>
    <t>ESCARO,ALYSSA, DESTRIZA</t>
  </si>
  <si>
    <t>EVIDENTE,MAXINE MEA, ANSIT</t>
  </si>
  <si>
    <t>JASPE,ALLIAH, VILLAMEN</t>
  </si>
  <si>
    <t>JAVA,ROSEFEL JOY, LUMOGDANG</t>
  </si>
  <si>
    <t>JAYME,MAYKA, PIRASARAS</t>
  </si>
  <si>
    <t>LAGRIMAS,RICAH, PANESA</t>
  </si>
  <si>
    <t>LAMIS,ALIEXA SHANNE, PANISA</t>
  </si>
  <si>
    <t>LUPENA,JULIAN, LUMOT</t>
  </si>
  <si>
    <t>MIJARES,JENNY ROSE, SANCHEZ</t>
  </si>
  <si>
    <t>MOSO,MAE, MALAGA</t>
  </si>
  <si>
    <t>PAMA,EARL DIANE, PARCON</t>
  </si>
  <si>
    <t>ROBLES,KENT LUCCI, VILLANUEVA</t>
  </si>
  <si>
    <t>SENIDO,KRISHA, MABUGAY</t>
  </si>
  <si>
    <t>SERDEVILLA,CLEA, LIBO-ON</t>
  </si>
  <si>
    <t>RONATO</t>
  </si>
  <si>
    <t>YUEY</t>
  </si>
  <si>
    <t>OBEDIENCE</t>
  </si>
  <si>
    <t>ABAYON</t>
  </si>
  <si>
    <t>ANDO</t>
  </si>
  <si>
    <t>ELJOHN</t>
  </si>
  <si>
    <t>GALLO</t>
  </si>
  <si>
    <t>ARHON</t>
  </si>
  <si>
    <t>GANTALAO</t>
  </si>
  <si>
    <t>JERICK</t>
  </si>
  <si>
    <t>LUMANOG</t>
  </si>
  <si>
    <t>ROYMOND</t>
  </si>
  <si>
    <t>VINCENT</t>
  </si>
  <si>
    <t>JOWELA</t>
  </si>
  <si>
    <t>CABUSLAY</t>
  </si>
  <si>
    <t>ANDREA LYNN</t>
  </si>
  <si>
    <t>CANLAS</t>
  </si>
  <si>
    <t>JAIRA NICOLE</t>
  </si>
  <si>
    <t>ESCONDE</t>
  </si>
  <si>
    <t>ELEIHYA GALE</t>
  </si>
  <si>
    <t>EDLYN</t>
  </si>
  <si>
    <t>NOBLE</t>
  </si>
  <si>
    <t>ROSELA</t>
  </si>
  <si>
    <t>PEDOTCHE</t>
  </si>
  <si>
    <t>JEAME</t>
  </si>
  <si>
    <t>RODRIQUEZ</t>
  </si>
  <si>
    <t>MARIAN NICOLE</t>
  </si>
  <si>
    <t>OPEN HIGH SCHOOL</t>
  </si>
  <si>
    <t>BENEDICTO</t>
  </si>
  <si>
    <t>KIM LLOYD</t>
  </si>
  <si>
    <t>DOBREA</t>
  </si>
  <si>
    <t>KENT VINVENT</t>
  </si>
  <si>
    <t>ESTIOCO</t>
  </si>
  <si>
    <t>JUSTINE</t>
  </si>
  <si>
    <t>invalid</t>
  </si>
  <si>
    <t>ROSEMARIE</t>
  </si>
  <si>
    <t>CHRISHELLA JANE</t>
  </si>
  <si>
    <t>YAGAHON</t>
  </si>
  <si>
    <t>ASHLEY</t>
  </si>
  <si>
    <t>NCAE STUDENT DATA - CNHS-LUNA EXT HS</t>
  </si>
  <si>
    <t>DANDELION</t>
  </si>
  <si>
    <t>DALMATA</t>
  </si>
  <si>
    <t>JHERIC PAUL</t>
  </si>
  <si>
    <t>DIESTO</t>
  </si>
  <si>
    <t>JHON LORENCE</t>
  </si>
  <si>
    <t>DORIAS</t>
  </si>
  <si>
    <t xml:space="preserve">REYMANDO JR. </t>
  </si>
  <si>
    <t>IAN CARLO</t>
  </si>
  <si>
    <t>ENEMA</t>
  </si>
  <si>
    <t>DANELLE CRIS</t>
  </si>
  <si>
    <t>GALVE</t>
  </si>
  <si>
    <t xml:space="preserve">IVAN </t>
  </si>
  <si>
    <t>TIAMSING</t>
  </si>
  <si>
    <t>MARK IAN</t>
  </si>
  <si>
    <t>DARWIN</t>
  </si>
  <si>
    <t>ALOB</t>
  </si>
  <si>
    <t xml:space="preserve">KYLA MARIE </t>
  </si>
  <si>
    <t>ARTUS</t>
  </si>
  <si>
    <t>SHANARYL</t>
  </si>
  <si>
    <t>ASUNCION</t>
  </si>
  <si>
    <t>BLANCA</t>
  </si>
  <si>
    <t>RED</t>
  </si>
  <si>
    <t>CIELO</t>
  </si>
  <si>
    <t>DELOTINA</t>
  </si>
  <si>
    <t>ELIZABETH</t>
  </si>
  <si>
    <t>EMPANADO</t>
  </si>
  <si>
    <t>ESPINASE</t>
  </si>
  <si>
    <t>RHEY ANN</t>
  </si>
  <si>
    <t>DOLLY JOY</t>
  </si>
  <si>
    <t>FRE-IRA</t>
  </si>
  <si>
    <t>HAIZEL VHENIZE</t>
  </si>
  <si>
    <t>FUENTES</t>
  </si>
  <si>
    <t>RICA</t>
  </si>
  <si>
    <t>GALANG</t>
  </si>
  <si>
    <t>SUZZAINE MARIE</t>
  </si>
  <si>
    <t>JULITA</t>
  </si>
  <si>
    <t>HAVAH NICOLE</t>
  </si>
  <si>
    <t>MAGSAEL</t>
  </si>
  <si>
    <t>AKESHA  JAMILLE</t>
  </si>
  <si>
    <t>MANAIT</t>
  </si>
  <si>
    <t>DIANNA</t>
  </si>
  <si>
    <t>OLIVERA</t>
  </si>
  <si>
    <t>TRIXIELYN</t>
  </si>
  <si>
    <t>PANGANIBAN</t>
  </si>
  <si>
    <t>BENJELYN</t>
  </si>
  <si>
    <t>PAUNALAN</t>
  </si>
  <si>
    <t>AMY</t>
  </si>
  <si>
    <t>LYCA</t>
  </si>
  <si>
    <t>MAIRA</t>
  </si>
  <si>
    <t>RUSTIA</t>
  </si>
  <si>
    <t>YANGYANG</t>
  </si>
  <si>
    <t>SHANELLE IRISH</t>
  </si>
  <si>
    <t>SAMPAGUITA</t>
  </si>
  <si>
    <t>AREGLO</t>
  </si>
  <si>
    <t>ARTHUR</t>
  </si>
  <si>
    <t>BONIFACIO</t>
  </si>
  <si>
    <t>SHEIM DANNIEL</t>
  </si>
  <si>
    <t>JESMAR</t>
  </si>
  <si>
    <t>RITCHIE</t>
  </si>
  <si>
    <t>EJEDO</t>
  </si>
  <si>
    <t>JOHN CARL</t>
  </si>
  <si>
    <t>ESPARES</t>
  </si>
  <si>
    <t>LOUIE JR</t>
  </si>
  <si>
    <t>JEROME</t>
  </si>
  <si>
    <t>JUANICO</t>
  </si>
  <si>
    <t>JEN MARK</t>
  </si>
  <si>
    <t>LATAQUIN</t>
  </si>
  <si>
    <t>ADRIAN</t>
  </si>
  <si>
    <t>MAÑOSA</t>
  </si>
  <si>
    <t>RENIER</t>
  </si>
  <si>
    <t>MATANDAG</t>
  </si>
  <si>
    <t xml:space="preserve">JOHN REVIN </t>
  </si>
  <si>
    <t>NAGA</t>
  </si>
  <si>
    <t xml:space="preserve">ARNEL JR. </t>
  </si>
  <si>
    <t>NUÑAL</t>
  </si>
  <si>
    <t>NORENCE</t>
  </si>
  <si>
    <t>ORBESO</t>
  </si>
  <si>
    <t>JB</t>
  </si>
  <si>
    <t>PADERNAL</t>
  </si>
  <si>
    <t>JIM JASPER</t>
  </si>
  <si>
    <t>DENNIS</t>
  </si>
  <si>
    <t>SARILLOSA</t>
  </si>
  <si>
    <t>JOEL III</t>
  </si>
  <si>
    <t>TRAYA</t>
  </si>
  <si>
    <t>JOENARD</t>
  </si>
  <si>
    <t>VILLACAMPA</t>
  </si>
  <si>
    <t>VILLARANTE</t>
  </si>
  <si>
    <t>ADAM</t>
  </si>
  <si>
    <t>LEONARDO III</t>
  </si>
  <si>
    <t>BATACANDOLO</t>
  </si>
  <si>
    <t>JOSA</t>
  </si>
  <si>
    <t>BELONIO</t>
  </si>
  <si>
    <t>JEA</t>
  </si>
  <si>
    <t>APRIL JANE</t>
  </si>
  <si>
    <t>CABRELA</t>
  </si>
  <si>
    <t>MARY ROSE</t>
  </si>
  <si>
    <t>DEQUIÑA</t>
  </si>
  <si>
    <t>NOREN</t>
  </si>
  <si>
    <t>ESTIOLA</t>
  </si>
  <si>
    <t>VERONICA</t>
  </si>
  <si>
    <t>LOSARAN</t>
  </si>
  <si>
    <t>VILMARIE</t>
  </si>
  <si>
    <t>JANDE</t>
  </si>
  <si>
    <t>MASBAÑO</t>
  </si>
  <si>
    <t>MIA JANE</t>
  </si>
  <si>
    <t>ONDON</t>
  </si>
  <si>
    <t>SHARIZA MAE</t>
  </si>
  <si>
    <t>JECKLYN</t>
  </si>
  <si>
    <t>TORIANO</t>
  </si>
  <si>
    <t>ALJANE</t>
  </si>
  <si>
    <t>DAISY</t>
  </si>
  <si>
    <t>EJAY</t>
  </si>
  <si>
    <t>AMADEO</t>
  </si>
  <si>
    <t>RYAN</t>
  </si>
  <si>
    <t>ARINO</t>
  </si>
  <si>
    <t>ARTUZ</t>
  </si>
  <si>
    <t>HEL JOHN</t>
  </si>
  <si>
    <t>BARNAL</t>
  </si>
  <si>
    <t>JOHN CLYDE</t>
  </si>
  <si>
    <t>BAYKIN</t>
  </si>
  <si>
    <t>RHOD JAMES</t>
  </si>
  <si>
    <t>DELIÑA</t>
  </si>
  <si>
    <t>EMJIE</t>
  </si>
  <si>
    <t>DEOCAMPO</t>
  </si>
  <si>
    <t>JOVY</t>
  </si>
  <si>
    <t>MARK GEL</t>
  </si>
  <si>
    <t>GUAYAN</t>
  </si>
  <si>
    <t>ARGIE</t>
  </si>
  <si>
    <t>HANGALAY</t>
  </si>
  <si>
    <t xml:space="preserve">MARK JOHN </t>
  </si>
  <si>
    <t>IBAÑEZ</t>
  </si>
  <si>
    <t>INDINO</t>
  </si>
  <si>
    <t>MICHAEL</t>
  </si>
  <si>
    <t>JIMENO</t>
  </si>
  <si>
    <t xml:space="preserve">RAMY JR. </t>
  </si>
  <si>
    <t>NACO</t>
  </si>
  <si>
    <t>JEZER</t>
  </si>
  <si>
    <t>OPLAS</t>
  </si>
  <si>
    <t>JOHN VINCENT</t>
  </si>
  <si>
    <t>JERIC</t>
  </si>
  <si>
    <t>PAJELA</t>
  </si>
  <si>
    <t>VALENTIN</t>
  </si>
  <si>
    <t>PORTUGUES</t>
  </si>
  <si>
    <t>JOED</t>
  </si>
  <si>
    <t>JEEF ROMEL</t>
  </si>
  <si>
    <t>ROWEL</t>
  </si>
  <si>
    <t>LEMJOHN</t>
  </si>
  <si>
    <t>SAN MIGUEL</t>
  </si>
  <si>
    <t>CRIS LAYNARD</t>
  </si>
  <si>
    <t>ANTIPOLO</t>
  </si>
  <si>
    <t>MARIEL</t>
  </si>
  <si>
    <t>APRIL ANN</t>
  </si>
  <si>
    <t>DACALDACAL</t>
  </si>
  <si>
    <t>ERIKA</t>
  </si>
  <si>
    <t>JONELA</t>
  </si>
  <si>
    <t>JIMMELYN</t>
  </si>
  <si>
    <t>GABIOLA</t>
  </si>
  <si>
    <t>LYZA</t>
  </si>
  <si>
    <t>SOLORIA</t>
  </si>
  <si>
    <t>AZALEA</t>
  </si>
  <si>
    <t>SORIANOSOS</t>
  </si>
  <si>
    <t>RHIANNE</t>
  </si>
  <si>
    <t>TAPARAN</t>
  </si>
  <si>
    <t>FAME ANN</t>
  </si>
  <si>
    <t>NCAE STUDENT DATA - CNHS-TAGBANON EXT HS</t>
  </si>
  <si>
    <t>LOTUS</t>
  </si>
  <si>
    <t>BERMEJO</t>
  </si>
  <si>
    <t>CRIS EMANUEL</t>
  </si>
  <si>
    <t>CATAGUE</t>
  </si>
  <si>
    <t>CATIPUNAN</t>
  </si>
  <si>
    <t>RJ</t>
  </si>
  <si>
    <t>ARWIN</t>
  </si>
  <si>
    <t>MICHAEL JOHN</t>
  </si>
  <si>
    <t xml:space="preserve">MAQUILAN </t>
  </si>
  <si>
    <t>AHRON JAMES</t>
  </si>
  <si>
    <t>OTIVO</t>
  </si>
  <si>
    <t>JOSEPH</t>
  </si>
  <si>
    <t>ROQUERO</t>
  </si>
  <si>
    <t>DAVE ROBERT</t>
  </si>
  <si>
    <t>CARL ANGELO</t>
  </si>
  <si>
    <t>SUPLAGIO</t>
  </si>
  <si>
    <t>RHINO JOHN</t>
  </si>
  <si>
    <t>TARIO</t>
  </si>
  <si>
    <t>CYRUS JAMES</t>
  </si>
  <si>
    <t>TOMO</t>
  </si>
  <si>
    <t>CRIS JOHN JACOB</t>
  </si>
  <si>
    <t>ALEIA</t>
  </si>
  <si>
    <t>JESSEL</t>
  </si>
  <si>
    <t>KIESHA</t>
  </si>
  <si>
    <t>DURILAG</t>
  </si>
  <si>
    <t>PRECIOUS MAE</t>
  </si>
  <si>
    <t>K</t>
  </si>
  <si>
    <t>ETOMAY</t>
  </si>
  <si>
    <t>ELLA JOY</t>
  </si>
  <si>
    <t>EVANGELIO</t>
  </si>
  <si>
    <t>MAZELOU NICOLE</t>
  </si>
  <si>
    <t>GARDOCE</t>
  </si>
  <si>
    <t>RACHEL</t>
  </si>
  <si>
    <t>ROSIOS</t>
  </si>
  <si>
    <t>BEA NICOLE</t>
  </si>
  <si>
    <t>CHARLYN</t>
  </si>
  <si>
    <t>REIZEL</t>
  </si>
  <si>
    <t>SUNSHINE</t>
  </si>
  <si>
    <t>YUDO</t>
  </si>
  <si>
    <t>HANNA ANDREA</t>
  </si>
  <si>
    <t>HYACINTH</t>
  </si>
  <si>
    <t>AGUSTIN</t>
  </si>
  <si>
    <t>MARCIAN</t>
  </si>
  <si>
    <t>ALCONTIN</t>
  </si>
  <si>
    <t>ILYAN</t>
  </si>
  <si>
    <t>BATIC-BATIC</t>
  </si>
  <si>
    <t>RODJANE</t>
  </si>
  <si>
    <t>BEJERANO</t>
  </si>
  <si>
    <t>SNYDER JAMES</t>
  </si>
  <si>
    <t>DEJAN</t>
  </si>
  <si>
    <t>JADE</t>
  </si>
  <si>
    <t>GABRIEL`</t>
  </si>
  <si>
    <t>LAGOD</t>
  </si>
  <si>
    <t>CRIS MAR</t>
  </si>
  <si>
    <t>PANAGSAGON</t>
  </si>
  <si>
    <t>JONAS</t>
  </si>
  <si>
    <t>LEOMAR</t>
  </si>
  <si>
    <t>SELERIO</t>
  </si>
  <si>
    <t>SERDEVILLA</t>
  </si>
  <si>
    <t>JOHN RAVEN</t>
  </si>
  <si>
    <t>MARK DANCEL</t>
  </si>
  <si>
    <t>ALCALA</t>
  </si>
  <si>
    <t xml:space="preserve">SHANE </t>
  </si>
  <si>
    <t>ALICAYA</t>
  </si>
  <si>
    <t>RAIZZA</t>
  </si>
  <si>
    <t>BATICBATIC</t>
  </si>
  <si>
    <t>RAINJIE JANE</t>
  </si>
  <si>
    <t>CASTRE</t>
  </si>
  <si>
    <t>MECAILA JEAN</t>
  </si>
  <si>
    <t>ANJIEL</t>
  </si>
  <si>
    <t>JASPE</t>
  </si>
  <si>
    <t>CHRISTAL</t>
  </si>
  <si>
    <t>MALIHOC</t>
  </si>
  <si>
    <t xml:space="preserve">BEBELYN </t>
  </si>
  <si>
    <t>NONO</t>
  </si>
  <si>
    <t>ANNICA</t>
  </si>
  <si>
    <t>ROCIOS</t>
  </si>
  <si>
    <t>ALYSA</t>
  </si>
  <si>
    <t>CHELIAN</t>
  </si>
  <si>
    <t>NCAE STUDENT DATA - DR. VFGMNHS</t>
  </si>
  <si>
    <t>NCAE STUDENT DATA - DR. VFGMNHS-DAGA EXT HS</t>
  </si>
  <si>
    <t>AZURE</t>
  </si>
  <si>
    <t>ALOBIA</t>
  </si>
  <si>
    <t>AIZEN JOHN</t>
  </si>
  <si>
    <t>BA</t>
  </si>
  <si>
    <t>JULAN RAY</t>
  </si>
  <si>
    <t>RHYDELL JR</t>
  </si>
  <si>
    <t>ESPEJO</t>
  </si>
  <si>
    <t>JOSEPH ARIEL</t>
  </si>
  <si>
    <t>GABASA</t>
  </si>
  <si>
    <t>RICORYL</t>
  </si>
  <si>
    <t>GUARINO</t>
  </si>
  <si>
    <t>ARCHE</t>
  </si>
  <si>
    <t>LAMPAGO</t>
  </si>
  <si>
    <t>NEHEMIAH JHAY</t>
  </si>
  <si>
    <t>JOHN JAMIEL</t>
  </si>
  <si>
    <t>PIAMONTE</t>
  </si>
  <si>
    <t>BRENT DAYNNIEL</t>
  </si>
  <si>
    <t>ALFREDO III</t>
  </si>
  <si>
    <t>VILLACARLOS</t>
  </si>
  <si>
    <t>JANCARL</t>
  </si>
  <si>
    <t>AZOTES</t>
  </si>
  <si>
    <t>MIKEE</t>
  </si>
  <si>
    <t>BADURIA</t>
  </si>
  <si>
    <t>LEA MAE</t>
  </si>
  <si>
    <t>CATALAN</t>
  </si>
  <si>
    <t>ROSE-ANN MAY</t>
  </si>
  <si>
    <t>CORONEL</t>
  </si>
  <si>
    <t>DAILYN JOY</t>
  </si>
  <si>
    <t>HONOFRE</t>
  </si>
  <si>
    <t>LARA JANE</t>
  </si>
  <si>
    <t>KING</t>
  </si>
  <si>
    <t>STEPHANIE LEANN</t>
  </si>
  <si>
    <t>MANINGO</t>
  </si>
  <si>
    <t>KYLEN</t>
  </si>
  <si>
    <t>MARTINEZ</t>
  </si>
  <si>
    <t>RE-ANN</t>
  </si>
  <si>
    <t>MAYONO</t>
  </si>
  <si>
    <t>VICTORIA</t>
  </si>
  <si>
    <t>OHYAMA</t>
  </si>
  <si>
    <t>HIMAWARI</t>
  </si>
  <si>
    <t>PABIANA</t>
  </si>
  <si>
    <t>SHELLANE</t>
  </si>
  <si>
    <t>PROVENCION</t>
  </si>
  <si>
    <t>SHEEN</t>
  </si>
  <si>
    <t>SANTE</t>
  </si>
  <si>
    <t>JERRY ROSE</t>
  </si>
  <si>
    <t>VILLAROSA</t>
  </si>
  <si>
    <t>ELLA</t>
  </si>
  <si>
    <t>ELLEN</t>
  </si>
  <si>
    <t>CYAN</t>
  </si>
  <si>
    <t>REXIE</t>
  </si>
  <si>
    <t>BERMUDES</t>
  </si>
  <si>
    <t>AIAN JHON</t>
  </si>
  <si>
    <t>BRAZA</t>
  </si>
  <si>
    <t>KENTH JOSE</t>
  </si>
  <si>
    <t>JUAN MIGUEL</t>
  </si>
  <si>
    <t>DETOSIL</t>
  </si>
  <si>
    <t>ESCORIAL</t>
  </si>
  <si>
    <t>JECKO</t>
  </si>
  <si>
    <t>MORENO</t>
  </si>
  <si>
    <t>JUDZCIL</t>
  </si>
  <si>
    <t>OSONERO</t>
  </si>
  <si>
    <t>JUSTINE ERICHO</t>
  </si>
  <si>
    <t>BOBBY III</t>
  </si>
  <si>
    <t>PUNSALAN</t>
  </si>
  <si>
    <t>PRIME JIVE</t>
  </si>
  <si>
    <t>VILLAMENTO</t>
  </si>
  <si>
    <t>DANIEL JOHN</t>
  </si>
  <si>
    <t>AQUE</t>
  </si>
  <si>
    <t>MA FAITH</t>
  </si>
  <si>
    <t>BACAN</t>
  </si>
  <si>
    <t>RITCHEL MAE</t>
  </si>
  <si>
    <t>BADAJOS</t>
  </si>
  <si>
    <t>JANELEEN ANGELA</t>
  </si>
  <si>
    <t>BANTILING</t>
  </si>
  <si>
    <t>JINKY</t>
  </si>
  <si>
    <t>CASTRO</t>
  </si>
  <si>
    <t>LARA MAY</t>
  </si>
  <si>
    <t>COSTANILLA</t>
  </si>
  <si>
    <t>KRISTY</t>
  </si>
  <si>
    <t>DESUYO</t>
  </si>
  <si>
    <t>MACAJAS</t>
  </si>
  <si>
    <t>MENOZA</t>
  </si>
  <si>
    <t>ROGENA MAE</t>
  </si>
  <si>
    <t>NUNEZ</t>
  </si>
  <si>
    <t>JAYCE ANTONIETTE</t>
  </si>
  <si>
    <t>PABION</t>
  </si>
  <si>
    <t>PARDENAS</t>
  </si>
  <si>
    <t>JOEYLYN</t>
  </si>
  <si>
    <t>PASAR</t>
  </si>
  <si>
    <t>LEXENE KATE</t>
  </si>
  <si>
    <t>PASTUTIYO</t>
  </si>
  <si>
    <t>RACHEL BRITNEY</t>
  </si>
  <si>
    <t>SERRANO</t>
  </si>
  <si>
    <t>CHERRY MAE</t>
  </si>
  <si>
    <t>SOLDEVILLA</t>
  </si>
  <si>
    <t>RHEANNE MARIE</t>
  </si>
  <si>
    <t>PERIWINKLE</t>
  </si>
  <si>
    <t>DAGANDAN</t>
  </si>
  <si>
    <t>JORRELL</t>
  </si>
  <si>
    <t>DELCORO</t>
  </si>
  <si>
    <t>DANJE</t>
  </si>
  <si>
    <t>GABIHAN</t>
  </si>
  <si>
    <t>RICKY JAY</t>
  </si>
  <si>
    <t>INTICO</t>
  </si>
  <si>
    <t>ANTHON JEREMIAH</t>
  </si>
  <si>
    <t>ONIOT</t>
  </si>
  <si>
    <t>KENT BRYAN</t>
  </si>
  <si>
    <t>ORTIZANO</t>
  </si>
  <si>
    <t>JACOB</t>
  </si>
  <si>
    <t>JERO CHESTER</t>
  </si>
  <si>
    <t>SEARES</t>
  </si>
  <si>
    <t>JEVON JAY</t>
  </si>
  <si>
    <t>ZAMORA</t>
  </si>
  <si>
    <t>KIRT CYRIL</t>
  </si>
  <si>
    <t>APOSTOL</t>
  </si>
  <si>
    <t>MIKAELA AYA</t>
  </si>
  <si>
    <t>BIUYA</t>
  </si>
  <si>
    <t>SHAINA MARIE</t>
  </si>
  <si>
    <t>CABERTE</t>
  </si>
  <si>
    <t>DIBINITO</t>
  </si>
  <si>
    <t>CARLYNN</t>
  </si>
  <si>
    <t>DYNA</t>
  </si>
  <si>
    <t>HOSEA ANN</t>
  </si>
  <si>
    <t>HISTORIA</t>
  </si>
  <si>
    <t>NIKITA</t>
  </si>
  <si>
    <t>LABUGUIN</t>
  </si>
  <si>
    <t>LOMIBAO</t>
  </si>
  <si>
    <t>HEART</t>
  </si>
  <si>
    <t>LOPEZ</t>
  </si>
  <si>
    <t>MAE SHYLLAH</t>
  </si>
  <si>
    <t>MANOZO</t>
  </si>
  <si>
    <t>JULIA MAE</t>
  </si>
  <si>
    <t>POTESTAD</t>
  </si>
  <si>
    <t>ZAIRA JANE</t>
  </si>
  <si>
    <t>SUMALINOG</t>
  </si>
  <si>
    <t>MA PRINCESS</t>
  </si>
  <si>
    <t>YAGO</t>
  </si>
  <si>
    <t>LEA MONIQUE</t>
  </si>
  <si>
    <t>NCAE STUDENT DATA - JERUSALEM NHS</t>
  </si>
  <si>
    <t xml:space="preserve">Villaceran </t>
  </si>
  <si>
    <t>Alladin</t>
  </si>
  <si>
    <t xml:space="preserve">Aron </t>
  </si>
  <si>
    <t xml:space="preserve">Amante </t>
  </si>
  <si>
    <t xml:space="preserve">Kier </t>
  </si>
  <si>
    <t xml:space="preserve">D. </t>
  </si>
  <si>
    <t>Andrade</t>
  </si>
  <si>
    <t xml:space="preserve">Aljon </t>
  </si>
  <si>
    <t>Arevalo</t>
  </si>
  <si>
    <t xml:space="preserve">Marvin </t>
  </si>
  <si>
    <t xml:space="preserve">Belano </t>
  </si>
  <si>
    <t xml:space="preserve">Jhon Vince </t>
  </si>
  <si>
    <t xml:space="preserve">Beronio </t>
  </si>
  <si>
    <t xml:space="preserve">Rhod Jelbertson </t>
  </si>
  <si>
    <t xml:space="preserve">Caballero </t>
  </si>
  <si>
    <t xml:space="preserve">Lurence </t>
  </si>
  <si>
    <t xml:space="preserve">Cayayan </t>
  </si>
  <si>
    <t>Ramdy Jr.</t>
  </si>
  <si>
    <t xml:space="preserve">C. </t>
  </si>
  <si>
    <t xml:space="preserve">Delator </t>
  </si>
  <si>
    <t xml:space="preserve">Jhon Kyle </t>
  </si>
  <si>
    <t xml:space="preserve">Duque </t>
  </si>
  <si>
    <t xml:space="preserve">Mark Anthony </t>
  </si>
  <si>
    <t xml:space="preserve">Estelloso </t>
  </si>
  <si>
    <t xml:space="preserve">Rexmar </t>
  </si>
  <si>
    <t xml:space="preserve">Lanciola </t>
  </si>
  <si>
    <t xml:space="preserve">Jann Gabriel </t>
  </si>
  <si>
    <t xml:space="preserve">Leonoras </t>
  </si>
  <si>
    <t xml:space="preserve">John Paul </t>
  </si>
  <si>
    <t xml:space="preserve">E. </t>
  </si>
  <si>
    <t xml:space="preserve">Llavore </t>
  </si>
  <si>
    <t xml:space="preserve">Arold </t>
  </si>
  <si>
    <t>Lopez</t>
  </si>
  <si>
    <t xml:space="preserve">Christian </t>
  </si>
  <si>
    <t>Pillora</t>
  </si>
  <si>
    <t>Luciano III</t>
  </si>
  <si>
    <t xml:space="preserve">Ramboyong </t>
  </si>
  <si>
    <t>Lee Andrei</t>
  </si>
  <si>
    <t xml:space="preserve">Saiyo </t>
  </si>
  <si>
    <t xml:space="preserve">John Michael </t>
  </si>
  <si>
    <t xml:space="preserve">O. </t>
  </si>
  <si>
    <t xml:space="preserve">Solesta </t>
  </si>
  <si>
    <t xml:space="preserve">Nathaniel </t>
  </si>
  <si>
    <t xml:space="preserve">Teguihanon </t>
  </si>
  <si>
    <t xml:space="preserve">Edgar Jr. </t>
  </si>
  <si>
    <t xml:space="preserve">Togle </t>
  </si>
  <si>
    <t>Cristopher Jr.</t>
  </si>
  <si>
    <t xml:space="preserve">Valencia </t>
  </si>
  <si>
    <t xml:space="preserve">Aaron </t>
  </si>
  <si>
    <t xml:space="preserve">Valiente </t>
  </si>
  <si>
    <t xml:space="preserve">Daniel </t>
  </si>
  <si>
    <t xml:space="preserve">F. </t>
  </si>
  <si>
    <t xml:space="preserve">Villanueva </t>
  </si>
  <si>
    <t xml:space="preserve">Bryle </t>
  </si>
  <si>
    <t xml:space="preserve">Alejandro </t>
  </si>
  <si>
    <t xml:space="preserve">Louiela </t>
  </si>
  <si>
    <t xml:space="preserve">Berden </t>
  </si>
  <si>
    <t xml:space="preserve">Marian </t>
  </si>
  <si>
    <t xml:space="preserve">Contega </t>
  </si>
  <si>
    <t xml:space="preserve">Rhea Rose </t>
  </si>
  <si>
    <t>Depatillo</t>
  </si>
  <si>
    <t xml:space="preserve">Rosebel </t>
  </si>
  <si>
    <t xml:space="preserve">Galleno </t>
  </si>
  <si>
    <t xml:space="preserve">Julianne </t>
  </si>
  <si>
    <t xml:space="preserve">Pauline Joy </t>
  </si>
  <si>
    <t xml:space="preserve">Precious </t>
  </si>
  <si>
    <t>Gomez</t>
  </si>
  <si>
    <t xml:space="preserve">Ronalyn </t>
  </si>
  <si>
    <t>Gonzaga</t>
  </si>
  <si>
    <t xml:space="preserve">Patricia Mae </t>
  </si>
  <si>
    <t xml:space="preserve">Gutierrez </t>
  </si>
  <si>
    <t>Charlene</t>
  </si>
  <si>
    <t xml:space="preserve">Lumanog </t>
  </si>
  <si>
    <t xml:space="preserve">Jesica </t>
  </si>
  <si>
    <t xml:space="preserve">Mahinay </t>
  </si>
  <si>
    <t xml:space="preserve">Maychena </t>
  </si>
  <si>
    <t xml:space="preserve">Manlangit </t>
  </si>
  <si>
    <t xml:space="preserve">Berna </t>
  </si>
  <si>
    <t xml:space="preserve">Marcellano </t>
  </si>
  <si>
    <t>Janica</t>
  </si>
  <si>
    <t xml:space="preserve">Montebon </t>
  </si>
  <si>
    <t xml:space="preserve">Rechelle </t>
  </si>
  <si>
    <t xml:space="preserve">Nabor </t>
  </si>
  <si>
    <t>Anna Rose</t>
  </si>
  <si>
    <t xml:space="preserve">Olavia </t>
  </si>
  <si>
    <t xml:space="preserve">Ella </t>
  </si>
  <si>
    <t xml:space="preserve">Parcon </t>
  </si>
  <si>
    <t xml:space="preserve">Meljane </t>
  </si>
  <si>
    <t xml:space="preserve">Villacampa </t>
  </si>
  <si>
    <t xml:space="preserve">Charlyn </t>
  </si>
  <si>
    <t>DEMETER</t>
  </si>
  <si>
    <t>BANHAO</t>
  </si>
  <si>
    <t>MARVIN CLOYD</t>
  </si>
  <si>
    <t>BASCAR</t>
  </si>
  <si>
    <t>MARK ANTHONY</t>
  </si>
  <si>
    <t>CAÑAS</t>
  </si>
  <si>
    <t>JOEN</t>
  </si>
  <si>
    <t>CERESO</t>
  </si>
  <si>
    <t>MARELINE</t>
  </si>
  <si>
    <t>DONOGA</t>
  </si>
  <si>
    <t>MARK JOHN</t>
  </si>
  <si>
    <t>ESCARILLA</t>
  </si>
  <si>
    <t>JOHN KURT</t>
  </si>
  <si>
    <t>GUANZON</t>
  </si>
  <si>
    <t>ANGELO</t>
  </si>
  <si>
    <t>LAGDAMEN</t>
  </si>
  <si>
    <t>ARVY</t>
  </si>
  <si>
    <t>LU-ANG</t>
  </si>
  <si>
    <t>DHARCY</t>
  </si>
  <si>
    <t>MISAL</t>
  </si>
  <si>
    <t>DIETHER</t>
  </si>
  <si>
    <t>MORILLO</t>
  </si>
  <si>
    <t>IROD LAURENCE</t>
  </si>
  <si>
    <t>ARNIE BOY</t>
  </si>
  <si>
    <t>Y</t>
  </si>
  <si>
    <t>QUIRIONES</t>
  </si>
  <si>
    <t>TYLER JAMES</t>
  </si>
  <si>
    <t>SACAYAN</t>
  </si>
  <si>
    <t>JOHN EDMAR</t>
  </si>
  <si>
    <t>Z</t>
  </si>
  <si>
    <t>SOBERANO</t>
  </si>
  <si>
    <t>CYREL</t>
  </si>
  <si>
    <t>JOHN LESTER</t>
  </si>
  <si>
    <t>JAY-R</t>
  </si>
  <si>
    <t>ALERTA</t>
  </si>
  <si>
    <t>ALPITCHE</t>
  </si>
  <si>
    <t>MELIZA</t>
  </si>
  <si>
    <t>BADIE</t>
  </si>
  <si>
    <t>DESIREE</t>
  </si>
  <si>
    <t>BUENAOBRA</t>
  </si>
  <si>
    <t>CRISTINA</t>
  </si>
  <si>
    <t>DOQUE</t>
  </si>
  <si>
    <t>NIÑA</t>
  </si>
  <si>
    <t>ESTIMADO</t>
  </si>
  <si>
    <t>APRIL JOY</t>
  </si>
  <si>
    <t>FEGUEROA</t>
  </si>
  <si>
    <t>JOANNA</t>
  </si>
  <si>
    <t>FIGUEROA</t>
  </si>
  <si>
    <t>GUMAPE</t>
  </si>
  <si>
    <t>LOGATIMAN</t>
  </si>
  <si>
    <t>ANGELIE</t>
  </si>
  <si>
    <t>KRISLYN</t>
  </si>
  <si>
    <t>MURRIERA</t>
  </si>
  <si>
    <t>JEWELL ANN</t>
  </si>
  <si>
    <t>PALMARES</t>
  </si>
  <si>
    <t>KIANNA</t>
  </si>
  <si>
    <t>PRUDENTE</t>
  </si>
  <si>
    <t>EDRA</t>
  </si>
  <si>
    <t>ROMO</t>
  </si>
  <si>
    <t>BEVILYN</t>
  </si>
  <si>
    <t>SECOLLES</t>
  </si>
  <si>
    <t>JANELE</t>
  </si>
  <si>
    <t>UNIVELE</t>
  </si>
  <si>
    <t>ALJANE ROSE</t>
  </si>
  <si>
    <t>SORONIO</t>
  </si>
  <si>
    <t>VASQUEZ</t>
  </si>
  <si>
    <t>JOENNA</t>
  </si>
  <si>
    <t>YNION</t>
  </si>
  <si>
    <t>GRACE ANN</t>
  </si>
  <si>
    <t>Villaceran</t>
  </si>
  <si>
    <t xml:space="preserve">Mahilum </t>
  </si>
  <si>
    <t xml:space="preserve">Joshua </t>
  </si>
  <si>
    <t>NCAE STUDENT DATA - MABINI NHS</t>
  </si>
  <si>
    <t>BASIL</t>
  </si>
  <si>
    <t>ALEGRE</t>
  </si>
  <si>
    <t>RENZ</t>
  </si>
  <si>
    <t>AUZA</t>
  </si>
  <si>
    <t>BARILLOS</t>
  </si>
  <si>
    <t>CLINT</t>
  </si>
  <si>
    <t>BINAN</t>
  </si>
  <si>
    <t>TROY ANGELO</t>
  </si>
  <si>
    <t>JOEL</t>
  </si>
  <si>
    <t>CAJURAO</t>
  </si>
  <si>
    <t>CRIS JHON</t>
  </si>
  <si>
    <t>LORY MARK</t>
  </si>
  <si>
    <t>MARCELLANO</t>
  </si>
  <si>
    <t>RONNIE</t>
  </si>
  <si>
    <t>ORANZA</t>
  </si>
  <si>
    <t>RANDEL JOHN</t>
  </si>
  <si>
    <t>REGOR</t>
  </si>
  <si>
    <t>JUSTINE JAMES</t>
  </si>
  <si>
    <t>SUHOT</t>
  </si>
  <si>
    <t>LINVER</t>
  </si>
  <si>
    <t>TIPAN</t>
  </si>
  <si>
    <t>CRIS LORENZ</t>
  </si>
  <si>
    <t>ABALLE</t>
  </si>
  <si>
    <t>REZCHEL</t>
  </si>
  <si>
    <t>ALATIIT</t>
  </si>
  <si>
    <t>JONALYN</t>
  </si>
  <si>
    <t>ALIHED</t>
  </si>
  <si>
    <t>ROSE JANE</t>
  </si>
  <si>
    <t xml:space="preserve">BANTILING </t>
  </si>
  <si>
    <t>BIANCA</t>
  </si>
  <si>
    <t>BAROMAN</t>
  </si>
  <si>
    <t>KIZY</t>
  </si>
  <si>
    <t>DANOSO</t>
  </si>
  <si>
    <t>JENNIFER</t>
  </si>
  <si>
    <t>JUNLEN MAE</t>
  </si>
  <si>
    <t>JEAN</t>
  </si>
  <si>
    <t>GALLOSA</t>
  </si>
  <si>
    <t>GWYNNTH</t>
  </si>
  <si>
    <t>JAMIL</t>
  </si>
  <si>
    <t>CLOWIE</t>
  </si>
  <si>
    <t>LAMIZ</t>
  </si>
  <si>
    <t>LYNN JHIE</t>
  </si>
  <si>
    <t>MEDIDA</t>
  </si>
  <si>
    <t>JUDY ANN</t>
  </si>
  <si>
    <t>PACUBAS</t>
  </si>
  <si>
    <t>PRINCESS ROSE</t>
  </si>
  <si>
    <t>RESIDORO</t>
  </si>
  <si>
    <t>STEPHANY</t>
  </si>
  <si>
    <t>SABACAN</t>
  </si>
  <si>
    <t>RIZALYN</t>
  </si>
  <si>
    <t>SHERYL</t>
  </si>
  <si>
    <t>PARSLEY</t>
  </si>
  <si>
    <t>CHARL</t>
  </si>
  <si>
    <t>JHAN MIGUEL</t>
  </si>
  <si>
    <t xml:space="preserve">SETH ALEXANDER </t>
  </si>
  <si>
    <t>BUENAVISTA</t>
  </si>
  <si>
    <t xml:space="preserve">JOHN CARLO </t>
  </si>
  <si>
    <t>CLEMENIA</t>
  </si>
  <si>
    <t>SHEM PAUL</t>
  </si>
  <si>
    <t>JHONDERICK</t>
  </si>
  <si>
    <t>DEPATILLO</t>
  </si>
  <si>
    <t>NORBET</t>
  </si>
  <si>
    <t>GAMAO</t>
  </si>
  <si>
    <t>JONGCO</t>
  </si>
  <si>
    <t>JEREMY</t>
  </si>
  <si>
    <t>NAINGUE</t>
  </si>
  <si>
    <t>OFIANGA</t>
  </si>
  <si>
    <t>ERRER JOHN</t>
  </si>
  <si>
    <t>PORRAS</t>
  </si>
  <si>
    <t>CHRISTIAN PAUL</t>
  </si>
  <si>
    <t>PUERTO</t>
  </si>
  <si>
    <t>RESTE ERL</t>
  </si>
  <si>
    <t>SAMSON</t>
  </si>
  <si>
    <t>EDSEL</t>
  </si>
  <si>
    <t>SERRAON</t>
  </si>
  <si>
    <t>JAYVEE</t>
  </si>
  <si>
    <t>SUGALA</t>
  </si>
  <si>
    <t xml:space="preserve">JUSTINE </t>
  </si>
  <si>
    <t>BARILEA</t>
  </si>
  <si>
    <t>FEBE</t>
  </si>
  <si>
    <t>BELLEONES</t>
  </si>
  <si>
    <t>MA. JESSICA</t>
  </si>
  <si>
    <t>BINGCANG</t>
  </si>
  <si>
    <t>RIZA MAE</t>
  </si>
  <si>
    <t>COMPUESTO</t>
  </si>
  <si>
    <t>CATHY</t>
  </si>
  <si>
    <t>DE JOSE</t>
  </si>
  <si>
    <t>NORLYN</t>
  </si>
  <si>
    <t>JINSON</t>
  </si>
  <si>
    <t>TREESHA MARIE</t>
  </si>
  <si>
    <t>CHLOE</t>
  </si>
  <si>
    <t>LUNANON</t>
  </si>
  <si>
    <t>TRISHA</t>
  </si>
  <si>
    <t>OLID</t>
  </si>
  <si>
    <t>PATRICE MAE</t>
  </si>
  <si>
    <t>PACLIBAR</t>
  </si>
  <si>
    <t>JULLIENE PRINCESS</t>
  </si>
  <si>
    <t>PESARO</t>
  </si>
  <si>
    <t>MARY JUSTINE</t>
  </si>
  <si>
    <t>QUIJADA</t>
  </si>
  <si>
    <t>HERLYN</t>
  </si>
  <si>
    <t>DEXICH SOPHIA</t>
  </si>
  <si>
    <t>SEQUINO</t>
  </si>
  <si>
    <t xml:space="preserve">ANNA ROSE </t>
  </si>
  <si>
    <t>SIVILLA</t>
  </si>
  <si>
    <t>ROSEMARY</t>
  </si>
  <si>
    <t>BETO</t>
  </si>
  <si>
    <t>HANS CHRISTIAN</t>
  </si>
  <si>
    <t>CARANO-O</t>
  </si>
  <si>
    <t>FEDEL</t>
  </si>
  <si>
    <t>EDMAR</t>
  </si>
  <si>
    <t>JAMES DOMINIC</t>
  </si>
  <si>
    <t>GAMILLA</t>
  </si>
  <si>
    <t>ALLAN JR</t>
  </si>
  <si>
    <t>MAG-USARA</t>
  </si>
  <si>
    <t xml:space="preserve">RONIL JAY </t>
  </si>
  <si>
    <t>MATUS</t>
  </si>
  <si>
    <t>JOHN PHILIP</t>
  </si>
  <si>
    <t>PADAYOGDOG</t>
  </si>
  <si>
    <t>MARN</t>
  </si>
  <si>
    <t>PANCHO</t>
  </si>
  <si>
    <t>JOENEL</t>
  </si>
  <si>
    <t>RECLA</t>
  </si>
  <si>
    <t>NIEL IVAN</t>
  </si>
  <si>
    <t>REPAL</t>
  </si>
  <si>
    <t>SUSANA</t>
  </si>
  <si>
    <t>MARK ZYRIL</t>
  </si>
  <si>
    <t>TAMPEPE</t>
  </si>
  <si>
    <t>JOREN</t>
  </si>
  <si>
    <t>VIAJEDOR</t>
  </si>
  <si>
    <t>DIEGO</t>
  </si>
  <si>
    <t xml:space="preserve">BESA </t>
  </si>
  <si>
    <t>JANSENN</t>
  </si>
  <si>
    <t>CASAMA</t>
  </si>
  <si>
    <t xml:space="preserve">DINA </t>
  </si>
  <si>
    <t>COBEROS</t>
  </si>
  <si>
    <t>TRIXY ANN</t>
  </si>
  <si>
    <t>JOY</t>
  </si>
  <si>
    <t>ENONG</t>
  </si>
  <si>
    <t>CHESKA LORRAINE</t>
  </si>
  <si>
    <t>ERABON</t>
  </si>
  <si>
    <t>JELLY</t>
  </si>
  <si>
    <t>IGLORIA</t>
  </si>
  <si>
    <t>THEA</t>
  </si>
  <si>
    <t>LAMAYAN</t>
  </si>
  <si>
    <t>TRISH LEE</t>
  </si>
  <si>
    <t>LLANERA</t>
  </si>
  <si>
    <t>JOSEPHINE</t>
  </si>
  <si>
    <t>MONTINOLA</t>
  </si>
  <si>
    <t>IRISH</t>
  </si>
  <si>
    <t xml:space="preserve">SEMILLANO </t>
  </si>
  <si>
    <t>IASIAH ZYRENE</t>
  </si>
  <si>
    <t>TALORONG</t>
  </si>
  <si>
    <t>MYCA</t>
  </si>
  <si>
    <t>TOLENTINO</t>
  </si>
  <si>
    <t>JEANNE   ROSE</t>
  </si>
  <si>
    <t>SAGE</t>
  </si>
  <si>
    <t>ASUNCIN</t>
  </si>
  <si>
    <t>CLEO</t>
  </si>
  <si>
    <t>KHEMART</t>
  </si>
  <si>
    <t>DEFERIA</t>
  </si>
  <si>
    <t>JEIAN</t>
  </si>
  <si>
    <t>ESCOPETE</t>
  </si>
  <si>
    <t>LEO</t>
  </si>
  <si>
    <t>PRINCE CHARLES</t>
  </si>
  <si>
    <t>JARINA</t>
  </si>
  <si>
    <t>MARLON</t>
  </si>
  <si>
    <t>LEGASPI</t>
  </si>
  <si>
    <t>ROSSEL</t>
  </si>
  <si>
    <t>NATABIO</t>
  </si>
  <si>
    <t>JAMES JUDE</t>
  </si>
  <si>
    <t>NIETES</t>
  </si>
  <si>
    <t>VAUGHN GRANT</t>
  </si>
  <si>
    <t>PALANOG</t>
  </si>
  <si>
    <t>JELOU</t>
  </si>
  <si>
    <t>QUIJANO</t>
  </si>
  <si>
    <t>JAYSON</t>
  </si>
  <si>
    <t>ROSA-UT</t>
  </si>
  <si>
    <t>SUMAHIT</t>
  </si>
  <si>
    <t>EYNAN KAISER</t>
  </si>
  <si>
    <t>MEGODY</t>
  </si>
  <si>
    <t>ZYRENE</t>
  </si>
  <si>
    <t>JOYLEN</t>
  </si>
  <si>
    <t xml:space="preserve">DEVINE PEARL </t>
  </si>
  <si>
    <t>DENAHIVA</t>
  </si>
  <si>
    <t>DIONALDO</t>
  </si>
  <si>
    <t>SHAINA MAE</t>
  </si>
  <si>
    <t>METHUSELAH</t>
  </si>
  <si>
    <t>GREGORIO</t>
  </si>
  <si>
    <t>CYREL AN</t>
  </si>
  <si>
    <t>KRISTHA</t>
  </si>
  <si>
    <t>JAVILLO</t>
  </si>
  <si>
    <t>ANGELA  FAYE</t>
  </si>
  <si>
    <t>ORIAS</t>
  </si>
  <si>
    <t>RUTHALIA DIANNA</t>
  </si>
  <si>
    <t>MHERIAM</t>
  </si>
  <si>
    <t>PARRENO</t>
  </si>
  <si>
    <t>JELLY JOY</t>
  </si>
  <si>
    <t>POSTRERO</t>
  </si>
  <si>
    <t>JOLYGEN</t>
  </si>
  <si>
    <t>RODRIGUEZ</t>
  </si>
  <si>
    <t>JUBILEE</t>
  </si>
  <si>
    <t>RUIZ</t>
  </si>
  <si>
    <t>JELIN</t>
  </si>
  <si>
    <t>SARONA</t>
  </si>
  <si>
    <t>VILLAESTER</t>
  </si>
  <si>
    <t>ALEXIS GWYNE</t>
  </si>
  <si>
    <t>THYME</t>
  </si>
  <si>
    <t>AMADO</t>
  </si>
  <si>
    <t>STEVE ANGELO</t>
  </si>
  <si>
    <t>RIENZ JOHN</t>
  </si>
  <si>
    <t>BRIX JERSEN</t>
  </si>
  <si>
    <t>117553140032</t>
  </si>
  <si>
    <t>CUSTODIO</t>
  </si>
  <si>
    <t xml:space="preserve">CHRISTIAN </t>
  </si>
  <si>
    <t>DE VILEENA</t>
  </si>
  <si>
    <t>JAN RACEL</t>
  </si>
  <si>
    <t>JOHN ANGELO</t>
  </si>
  <si>
    <t>ALDRIAN REX</t>
  </si>
  <si>
    <t>GENEGOBIS</t>
  </si>
  <si>
    <t>GLENSON</t>
  </si>
  <si>
    <t>ARCHIE</t>
  </si>
  <si>
    <t>RENEL JAMES</t>
  </si>
  <si>
    <t>AXL</t>
  </si>
  <si>
    <t>ERNESTO JR</t>
  </si>
  <si>
    <t>SEVILLA</t>
  </si>
  <si>
    <t>REDIAN</t>
  </si>
  <si>
    <t>SIMBAJON</t>
  </si>
  <si>
    <t>VILLAR</t>
  </si>
  <si>
    <t>CIAN INIGO</t>
  </si>
  <si>
    <t>BALINO</t>
  </si>
  <si>
    <t>JC MAE</t>
  </si>
  <si>
    <t>ERAN</t>
  </si>
  <si>
    <t>ARIANE SHAWN</t>
  </si>
  <si>
    <t>INCOCENCIO</t>
  </si>
  <si>
    <t>ROCSAN</t>
  </si>
  <si>
    <t>LAPINOSA</t>
  </si>
  <si>
    <t>ISABEL</t>
  </si>
  <si>
    <t>MERCADO</t>
  </si>
  <si>
    <t>XYREL JANE</t>
  </si>
  <si>
    <t>MIRAMONTES</t>
  </si>
  <si>
    <t>AMANDA NICOLE</t>
  </si>
  <si>
    <t>MONTEAGUDO</t>
  </si>
  <si>
    <t>LIZA MAE</t>
  </si>
  <si>
    <t>PAGUIDIAN</t>
  </si>
  <si>
    <t>GERLI E JOY</t>
  </si>
  <si>
    <t>JOSIE</t>
  </si>
  <si>
    <t>TEGUIHANON</t>
  </si>
  <si>
    <t>TUGUNON</t>
  </si>
  <si>
    <t>ANGELA MAE</t>
  </si>
  <si>
    <t>NCAE STUDENT DATA - ALIMATOC FARM SCHOOL</t>
  </si>
  <si>
    <t>DEBO</t>
  </si>
  <si>
    <t>ABIAN</t>
  </si>
  <si>
    <t>JAMES HEIRU</t>
  </si>
  <si>
    <t>ALAD</t>
  </si>
  <si>
    <t>JHON CHRISTHIAN</t>
  </si>
  <si>
    <t>BELDIA</t>
  </si>
  <si>
    <t>WILLIE</t>
  </si>
  <si>
    <t>BERTOLDO</t>
  </si>
  <si>
    <t>MANGGAY</t>
  </si>
  <si>
    <t>JERNIE</t>
  </si>
  <si>
    <t>JUDELL</t>
  </si>
  <si>
    <t>POLICARPIO</t>
  </si>
  <si>
    <t>SHEAN RIZZ</t>
  </si>
  <si>
    <t>TIROL</t>
  </si>
  <si>
    <t>RINALDO</t>
  </si>
  <si>
    <t>TOLEDO</t>
  </si>
  <si>
    <t>KEN RHONEL</t>
  </si>
  <si>
    <t>RAYMON</t>
  </si>
  <si>
    <t>RECHIE</t>
  </si>
  <si>
    <t>AGABON</t>
  </si>
  <si>
    <t>ANGELYN</t>
  </si>
  <si>
    <t>BABARANO</t>
  </si>
  <si>
    <t>LIA</t>
  </si>
  <si>
    <t>CARGATAN</t>
  </si>
  <si>
    <t>RENREN</t>
  </si>
  <si>
    <t>DADA</t>
  </si>
  <si>
    <t>JHEA</t>
  </si>
  <si>
    <t>JULIA</t>
  </si>
  <si>
    <t>DUERME</t>
  </si>
  <si>
    <t>PABUAYA</t>
  </si>
  <si>
    <t>DANILYN</t>
  </si>
  <si>
    <t>PABULAYA</t>
  </si>
  <si>
    <t>LEANY</t>
  </si>
  <si>
    <t>TABARES</t>
  </si>
  <si>
    <t>RASHELL MAE</t>
  </si>
  <si>
    <t>VERBO</t>
  </si>
  <si>
    <t>PRINCESS NATALIE</t>
  </si>
  <si>
    <t>NCAE STUDENT DATA - SPED HS</t>
  </si>
  <si>
    <t>IODINE</t>
  </si>
  <si>
    <t>ARCENAL</t>
  </si>
  <si>
    <t>MIKY</t>
  </si>
  <si>
    <t>ARLOS</t>
  </si>
  <si>
    <t>MEO</t>
  </si>
  <si>
    <t>BABAYLO</t>
  </si>
  <si>
    <t>ARJIE</t>
  </si>
  <si>
    <t>BACAYO</t>
  </si>
  <si>
    <t>JOEBERT JR</t>
  </si>
  <si>
    <t>BOOT</t>
  </si>
  <si>
    <t>JHARIEN</t>
  </si>
  <si>
    <t>GOLISAO</t>
  </si>
  <si>
    <t>RANZ</t>
  </si>
  <si>
    <t>JOHN CHARLES</t>
  </si>
  <si>
    <t>JOCSON</t>
  </si>
  <si>
    <t>JOHN MANUEL</t>
  </si>
  <si>
    <t>LANGCOYAN</t>
  </si>
  <si>
    <t>JOSHUA MIGUEL</t>
  </si>
  <si>
    <t>LOYOLA</t>
  </si>
  <si>
    <t>IVAN REY</t>
  </si>
  <si>
    <t>EARL JOHN</t>
  </si>
  <si>
    <t>MATULINA</t>
  </si>
  <si>
    <t>KHYNE LAURENCE</t>
  </si>
  <si>
    <t>PASMAN</t>
  </si>
  <si>
    <t>CEL XYMON</t>
  </si>
  <si>
    <t>SHEM JAMMEL</t>
  </si>
  <si>
    <t>TORRECHANTE</t>
  </si>
  <si>
    <t>CLZANDER GIN</t>
  </si>
  <si>
    <t>CHRIS NENEO</t>
  </si>
  <si>
    <t>ALISAN</t>
  </si>
  <si>
    <t>ALOBA</t>
  </si>
  <si>
    <t>ARISGADO</t>
  </si>
  <si>
    <t xml:space="preserve">TESSA </t>
  </si>
  <si>
    <t>BACROYA</t>
  </si>
  <si>
    <t>CONSEJO</t>
  </si>
  <si>
    <t>XYRHA GRACE</t>
  </si>
  <si>
    <t>JENISSA</t>
  </si>
  <si>
    <t>THEA MHAY</t>
  </si>
  <si>
    <t>DELENIA</t>
  </si>
  <si>
    <t>JEYAN</t>
  </si>
  <si>
    <t>DOMOPOY</t>
  </si>
  <si>
    <t>KATHLEAH MARIE</t>
  </si>
  <si>
    <t>DUCAY</t>
  </si>
  <si>
    <t>MAUREEN GRACE</t>
  </si>
  <si>
    <t>LHORAINE</t>
  </si>
  <si>
    <t>HIPOLAN</t>
  </si>
  <si>
    <t>LIBERTAD</t>
  </si>
  <si>
    <t>LUMAYAG</t>
  </si>
  <si>
    <t>ATHENA</t>
  </si>
  <si>
    <t>CEELIN</t>
  </si>
  <si>
    <t>PASILAN</t>
  </si>
  <si>
    <t>ARIAN JOY</t>
  </si>
  <si>
    <t>SAGAYLE</t>
  </si>
  <si>
    <t>CRISTEL ANN</t>
  </si>
  <si>
    <t>SANCHEZ</t>
  </si>
  <si>
    <t>JOHARA SHALEM</t>
  </si>
  <si>
    <t>VANADIUM</t>
  </si>
  <si>
    <t>ALON</t>
  </si>
  <si>
    <t>ALLEN DRAKE</t>
  </si>
  <si>
    <t>BENITEZ</t>
  </si>
  <si>
    <t>JOSE MICHAEL</t>
  </si>
  <si>
    <t>BORNALES</t>
  </si>
  <si>
    <t>CRYS HARRY</t>
  </si>
  <si>
    <t>FORTEZA</t>
  </si>
  <si>
    <t>ELTON YOMER</t>
  </si>
  <si>
    <t>PAGADOR</t>
  </si>
  <si>
    <t>JOSH BENEDICT</t>
  </si>
  <si>
    <t>TAYACTAC</t>
  </si>
  <si>
    <t>LANZ GABRIEL</t>
  </si>
  <si>
    <t>TENORIO</t>
  </si>
  <si>
    <t>PAUL</t>
  </si>
  <si>
    <t>TOMAQUE</t>
  </si>
  <si>
    <t>JAN GERVIN</t>
  </si>
  <si>
    <t>ALOLON</t>
  </si>
  <si>
    <t>DANICA MARIE</t>
  </si>
  <si>
    <t>CALIXTON</t>
  </si>
  <si>
    <t>TRIXIA MAE</t>
  </si>
  <si>
    <t>CUALBAR</t>
  </si>
  <si>
    <t>DANIELLE</t>
  </si>
  <si>
    <t>DELINA</t>
  </si>
  <si>
    <t>SOPHIA MARIE</t>
  </si>
  <si>
    <t>ESCANER</t>
  </si>
  <si>
    <t>VANESSA</t>
  </si>
  <si>
    <t>ILAYA</t>
  </si>
  <si>
    <t>KRIZIA FAYE</t>
  </si>
  <si>
    <t>LAYSON</t>
  </si>
  <si>
    <t>KAMILA SHERIN</t>
  </si>
  <si>
    <t>OPENIO</t>
  </si>
  <si>
    <t>PATRECIA MAE</t>
  </si>
  <si>
    <t>PALMES</t>
  </si>
  <si>
    <t>ALLEAH GRACE</t>
  </si>
  <si>
    <t>PERGONI</t>
  </si>
  <si>
    <t>GERRY JOY</t>
  </si>
  <si>
    <t>NERI JEAN</t>
  </si>
  <si>
    <t>TERENCIO</t>
  </si>
  <si>
    <t>JEWEL ALJY</t>
  </si>
  <si>
    <t>TORRECARION</t>
  </si>
  <si>
    <t xml:space="preserve">SOPHIA </t>
  </si>
  <si>
    <t>TORRES</t>
  </si>
  <si>
    <t>ZION VIEN</t>
  </si>
  <si>
    <t>TUMAMBO</t>
  </si>
  <si>
    <t>KHYZHA</t>
  </si>
  <si>
    <t>NCAE STUDENT DATA - SICABA NHS</t>
  </si>
  <si>
    <t>KA-AGAPAY</t>
  </si>
  <si>
    <t>BERJA</t>
  </si>
  <si>
    <t>LEONARD</t>
  </si>
  <si>
    <t>JAN ROW</t>
  </si>
  <si>
    <t>CAÑETE</t>
  </si>
  <si>
    <t>JERKS RENIEL</t>
  </si>
  <si>
    <t>ALEXANDER KYLE</t>
  </si>
  <si>
    <t>GA-ANG</t>
  </si>
  <si>
    <t>ROGEN TROY</t>
  </si>
  <si>
    <t>KEITH NEIL</t>
  </si>
  <si>
    <t>EL JHON</t>
  </si>
  <si>
    <t>JOHN MICHAEL</t>
  </si>
  <si>
    <t>KO</t>
  </si>
  <si>
    <t>MARK</t>
  </si>
  <si>
    <t>LEDESMA</t>
  </si>
  <si>
    <t>NIEL</t>
  </si>
  <si>
    <t>MORATAS</t>
  </si>
  <si>
    <t>GIAN CRISTOPHER</t>
  </si>
  <si>
    <t>PERLADO</t>
  </si>
  <si>
    <t>DEE RUSSEL</t>
  </si>
  <si>
    <t>JHON ALEXIR</t>
  </si>
  <si>
    <t>SERIA</t>
  </si>
  <si>
    <t>TOMACLAS</t>
  </si>
  <si>
    <t>ARANGOTE</t>
  </si>
  <si>
    <t>TRISHA JOY</t>
  </si>
  <si>
    <t>BRITAÑA</t>
  </si>
  <si>
    <t>ADEZA LOVELYN</t>
  </si>
  <si>
    <t>CASTELLANO</t>
  </si>
  <si>
    <t>KRIZZA MAE</t>
  </si>
  <si>
    <t>MA ALEXZA</t>
  </si>
  <si>
    <t>DANICO</t>
  </si>
  <si>
    <t>ANZEL</t>
  </si>
  <si>
    <t>DEJAR</t>
  </si>
  <si>
    <t>REYSHA ANN</t>
  </si>
  <si>
    <t>AVRIL NOEMI</t>
  </si>
  <si>
    <t>KRISTINE</t>
  </si>
  <si>
    <t>ENDIERA</t>
  </si>
  <si>
    <t>SAMANTHA JARINE</t>
  </si>
  <si>
    <t>CASANDRA MESSEIAH</t>
  </si>
  <si>
    <t>PAULINO</t>
  </si>
  <si>
    <t>JOYCE ANN</t>
  </si>
  <si>
    <t>ANGEL MAY</t>
  </si>
  <si>
    <t>TIWANA</t>
  </si>
  <si>
    <t>FREDLYN MARIE</t>
  </si>
  <si>
    <t>TUMANGAN</t>
  </si>
  <si>
    <t>JAJA</t>
  </si>
  <si>
    <t>AUDREY KIM</t>
  </si>
  <si>
    <t>NOEMI</t>
  </si>
  <si>
    <t>KA-AKIBAT</t>
  </si>
  <si>
    <t>RODJON</t>
  </si>
  <si>
    <t>ROGIE</t>
  </si>
  <si>
    <t>CONDE</t>
  </si>
  <si>
    <t>JOHN LOUIE</t>
  </si>
  <si>
    <t>CHRISTOPHER</t>
  </si>
  <si>
    <t>DEQUINTO</t>
  </si>
  <si>
    <t>JOHN</t>
  </si>
  <si>
    <t>ESPIDES</t>
  </si>
  <si>
    <t>AARON JHON</t>
  </si>
  <si>
    <t>LASQUITE</t>
  </si>
  <si>
    <t>RODJUN</t>
  </si>
  <si>
    <t>OLIVER</t>
  </si>
  <si>
    <t>MAHUSAY</t>
  </si>
  <si>
    <t>JOMEL</t>
  </si>
  <si>
    <t>KYLE NEALSON</t>
  </si>
  <si>
    <t>MOLEÑO</t>
  </si>
  <si>
    <t>JEMUEL</t>
  </si>
  <si>
    <t>PAMA</t>
  </si>
  <si>
    <t>PATDU</t>
  </si>
  <si>
    <t>JAIME</t>
  </si>
  <si>
    <t>JOSE JOHN</t>
  </si>
  <si>
    <t>SAYO</t>
  </si>
  <si>
    <t>JHON RONDIL</t>
  </si>
  <si>
    <t>SELPA</t>
  </si>
  <si>
    <t>MARC VINCENT</t>
  </si>
  <si>
    <t>ALIMPOLOS</t>
  </si>
  <si>
    <t>CHELSEY</t>
  </si>
  <si>
    <t>AMIDO</t>
  </si>
  <si>
    <t>RHEMIE JOY</t>
  </si>
  <si>
    <t>CONCON</t>
  </si>
  <si>
    <t>CHARIS JOY</t>
  </si>
  <si>
    <t>ALTHEA MARIE</t>
  </si>
  <si>
    <t>TRIXIE</t>
  </si>
  <si>
    <t>HOFILENA</t>
  </si>
  <si>
    <t>KRISHA</t>
  </si>
  <si>
    <t>MALBA</t>
  </si>
  <si>
    <t>ROMELA JOY</t>
  </si>
  <si>
    <t>EDELINE</t>
  </si>
  <si>
    <t>JENNECA NIÑA</t>
  </si>
  <si>
    <t>ONDRADO</t>
  </si>
  <si>
    <t>RUBY</t>
  </si>
  <si>
    <t>ABEGAEL</t>
  </si>
  <si>
    <t>PARAISO</t>
  </si>
  <si>
    <t>MA. REGINA</t>
  </si>
  <si>
    <t>PARREÑO</t>
  </si>
  <si>
    <t>KRISTEL ROSE</t>
  </si>
  <si>
    <t>ROSHEL</t>
  </si>
  <si>
    <t>SCARLETTE</t>
  </si>
  <si>
    <t>KCIAH</t>
  </si>
  <si>
    <t>KEN ANGEL</t>
  </si>
  <si>
    <t>TEJERO</t>
  </si>
  <si>
    <t>VILLARUZ</t>
  </si>
  <si>
    <t>KYLE</t>
  </si>
  <si>
    <t>NCAE STUDENT DATA - TIGLAWIGAN NHS</t>
  </si>
  <si>
    <t>MUSICIANS</t>
  </si>
  <si>
    <t>ABENIA</t>
  </si>
  <si>
    <t>REY JOHN</t>
  </si>
  <si>
    <t>GERRO</t>
  </si>
  <si>
    <t>DEGALA</t>
  </si>
  <si>
    <t>ANDREI JOHN</t>
  </si>
  <si>
    <t>GONIABO</t>
  </si>
  <si>
    <t>JHIMSTER GREG</t>
  </si>
  <si>
    <t>HEINZ</t>
  </si>
  <si>
    <t>MABUG-AT</t>
  </si>
  <si>
    <t>COBIE JACK</t>
  </si>
  <si>
    <t>BRYAN JOHN</t>
  </si>
  <si>
    <t>MEDEL</t>
  </si>
  <si>
    <t>JOFFREY</t>
  </si>
  <si>
    <t>TENEBROSO</t>
  </si>
  <si>
    <t>DAVE</t>
  </si>
  <si>
    <t>BACHARO</t>
  </si>
  <si>
    <t>JANE</t>
  </si>
  <si>
    <t>BATAYEN</t>
  </si>
  <si>
    <t>LOVELY JOY</t>
  </si>
  <si>
    <t>BATULAC</t>
  </si>
  <si>
    <t>CHRISMAE</t>
  </si>
  <si>
    <t>BATUSBATUSAN</t>
  </si>
  <si>
    <t>LADY</t>
  </si>
  <si>
    <t>EHRA MAE</t>
  </si>
  <si>
    <t>CABALUNA</t>
  </si>
  <si>
    <t>RHAYA</t>
  </si>
  <si>
    <t>CALPES</t>
  </si>
  <si>
    <t>DYRENE</t>
  </si>
  <si>
    <t>CUEVA</t>
  </si>
  <si>
    <t>EMRYL ROSE</t>
  </si>
  <si>
    <t>DESTURA</t>
  </si>
  <si>
    <t>ANGELA</t>
  </si>
  <si>
    <t>ILUSTRISIMO</t>
  </si>
  <si>
    <t>LUVI ELIZA</t>
  </si>
  <si>
    <t>LEAL</t>
  </si>
  <si>
    <t>LUMACANG</t>
  </si>
  <si>
    <t>JHANELLA LHYN</t>
  </si>
  <si>
    <t>MARTUS</t>
  </si>
  <si>
    <t>RHEALYN</t>
  </si>
  <si>
    <t>DIVINE</t>
  </si>
  <si>
    <t>PALIT</t>
  </si>
  <si>
    <t>JOANN</t>
  </si>
  <si>
    <t>REVAMONTE</t>
  </si>
  <si>
    <t>JORIE MAE</t>
  </si>
  <si>
    <t>SHANELLE LORAINE</t>
  </si>
  <si>
    <t>VARGAS</t>
  </si>
  <si>
    <t>GWEN ROSS</t>
  </si>
  <si>
    <t>WENDY JANE</t>
  </si>
  <si>
    <t>ARTISTS</t>
  </si>
  <si>
    <t>JOHN KYLE</t>
  </si>
  <si>
    <t>CHRISTIAN KURT</t>
  </si>
  <si>
    <t>JOERENZ</t>
  </si>
  <si>
    <t>CABEROY</t>
  </si>
  <si>
    <t>CASTROVERDE</t>
  </si>
  <si>
    <t>JERAN</t>
  </si>
  <si>
    <t>CHUA</t>
  </si>
  <si>
    <t>COMAHIG</t>
  </si>
  <si>
    <t>DEMAFELIZ</t>
  </si>
  <si>
    <t>CHARLIE</t>
  </si>
  <si>
    <t>GACUTAN</t>
  </si>
  <si>
    <t>MARK JOSEPH</t>
  </si>
  <si>
    <t>JIMENA</t>
  </si>
  <si>
    <t>JOVY JR</t>
  </si>
  <si>
    <t>LABONETE</t>
  </si>
  <si>
    <t>ADRIAN SHINVON</t>
  </si>
  <si>
    <t>LAYAGUE</t>
  </si>
  <si>
    <t>RAYMAR</t>
  </si>
  <si>
    <t>PABU-AYA</t>
  </si>
  <si>
    <t>REVIN</t>
  </si>
  <si>
    <t>JUSTINE CURL</t>
  </si>
  <si>
    <t>SARSUELO</t>
  </si>
  <si>
    <t>SERANTES</t>
  </si>
  <si>
    <t>JONATHAN</t>
  </si>
  <si>
    <t>TARROZA</t>
  </si>
  <si>
    <t>HANZ MICO</t>
  </si>
  <si>
    <t>TORIAGA</t>
  </si>
  <si>
    <t>ALEJANDRO JR</t>
  </si>
  <si>
    <t>ABRIA</t>
  </si>
  <si>
    <t>AMADA</t>
  </si>
  <si>
    <t>RAIZA</t>
  </si>
  <si>
    <t>APUHIN</t>
  </si>
  <si>
    <t>ZYRELLE KAYE</t>
  </si>
  <si>
    <t>BALLARES</t>
  </si>
  <si>
    <t>RIGENE MAE</t>
  </si>
  <si>
    <t>RHEA JANE</t>
  </si>
  <si>
    <t>BATO-ON</t>
  </si>
  <si>
    <t>RODELYN</t>
  </si>
  <si>
    <t>BELLIONES</t>
  </si>
  <si>
    <t>JACKELYN</t>
  </si>
  <si>
    <t>CARLA MAE</t>
  </si>
  <si>
    <t>CARRASCAL</t>
  </si>
  <si>
    <t>CAIRA JANINE</t>
  </si>
  <si>
    <t>WAYNIE JOY</t>
  </si>
  <si>
    <t>GENOVIA</t>
  </si>
  <si>
    <t>JOHANNA MAY</t>
  </si>
  <si>
    <t>JALLORES</t>
  </si>
  <si>
    <t>AIRA</t>
  </si>
  <si>
    <t>LAGARTO</t>
  </si>
  <si>
    <t>TRICIA SHANE</t>
  </si>
  <si>
    <t>MUEGA</t>
  </si>
  <si>
    <t>KWEENIE MARIE</t>
  </si>
  <si>
    <t>SORIAGA</t>
  </si>
  <si>
    <t>KHAMEL</t>
  </si>
  <si>
    <t>VIERNEZA</t>
  </si>
  <si>
    <t>MARIA GABRIELLE</t>
  </si>
  <si>
    <t>AJESHA</t>
  </si>
  <si>
    <t>ECONOMISTS</t>
  </si>
  <si>
    <t>DARUCA</t>
  </si>
  <si>
    <t>JOMAR</t>
  </si>
  <si>
    <t>DIONGSON</t>
  </si>
  <si>
    <t>ELMISSION</t>
  </si>
  <si>
    <t>JONARD</t>
  </si>
  <si>
    <t>IPO</t>
  </si>
  <si>
    <t>JANRIX</t>
  </si>
  <si>
    <t>JORIE</t>
  </si>
  <si>
    <t>PRIZA</t>
  </si>
  <si>
    <t>ADRINO</t>
  </si>
  <si>
    <t>MARY CRIS</t>
  </si>
  <si>
    <t>CRISTINE ANGEL</t>
  </si>
  <si>
    <t>SANDRA LYN</t>
  </si>
  <si>
    <t>KEISHA NICOLE</t>
  </si>
  <si>
    <t>BOKO</t>
  </si>
  <si>
    <t>DIVINE JEANNE</t>
  </si>
  <si>
    <t>MAE ANN</t>
  </si>
  <si>
    <t>ABEGAIL</t>
  </si>
  <si>
    <t>ROBE JANE</t>
  </si>
  <si>
    <t>VIENZ JOY</t>
  </si>
  <si>
    <t>FE</t>
  </si>
  <si>
    <t>ENTREDICHO</t>
  </si>
  <si>
    <t>PRINCESS LARA</t>
  </si>
  <si>
    <t>GOJO</t>
  </si>
  <si>
    <t>MA JOY</t>
  </si>
  <si>
    <t>ALICIA KATE</t>
  </si>
  <si>
    <t>JARAVELO</t>
  </si>
  <si>
    <t>JE-ANN</t>
  </si>
  <si>
    <t>MACAYA</t>
  </si>
  <si>
    <t>LORDLYN</t>
  </si>
  <si>
    <t>MARICEL</t>
  </si>
  <si>
    <t>CHRISTINE</t>
  </si>
  <si>
    <t>ONAYAN</t>
  </si>
  <si>
    <t>EVON</t>
  </si>
  <si>
    <t>CHERA MAE</t>
  </si>
  <si>
    <t>NEÑA</t>
  </si>
  <si>
    <t>SUA</t>
  </si>
  <si>
    <t>JENNIE</t>
  </si>
  <si>
    <t>TAYAD</t>
  </si>
  <si>
    <t>REYLA</t>
  </si>
  <si>
    <t>TAYCO</t>
  </si>
  <si>
    <t>CELYN</t>
  </si>
  <si>
    <t>URSAL</t>
  </si>
  <si>
    <t>JERELYN</t>
  </si>
  <si>
    <t>VERAÑA</t>
  </si>
  <si>
    <t>VILLARINO</t>
  </si>
  <si>
    <t>KHATE</t>
  </si>
  <si>
    <t>ENGINEERS</t>
  </si>
  <si>
    <t>CHRISTAN</t>
  </si>
  <si>
    <t>JOSEPH JR.</t>
  </si>
  <si>
    <t>BLANCAFLOR</t>
  </si>
  <si>
    <t>GARY JR.</t>
  </si>
  <si>
    <t>MARK JUSTINE</t>
  </si>
  <si>
    <t>CABASINGAN</t>
  </si>
  <si>
    <t>CARDINAL</t>
  </si>
  <si>
    <t>STEVEN SAINT</t>
  </si>
  <si>
    <t>CARESMA</t>
  </si>
  <si>
    <t>DAN REY</t>
  </si>
  <si>
    <t>DOSDOS</t>
  </si>
  <si>
    <t>BLAIR JARED</t>
  </si>
  <si>
    <t>GARCIA</t>
  </si>
  <si>
    <t>ROMMEL JR.</t>
  </si>
  <si>
    <t>LOBO</t>
  </si>
  <si>
    <t>MARK LOUIE</t>
  </si>
  <si>
    <t>MERIDOR</t>
  </si>
  <si>
    <t>JOHN NIEL</t>
  </si>
  <si>
    <t>MORADAS</t>
  </si>
  <si>
    <t>ALGEN</t>
  </si>
  <si>
    <t>JOJIE</t>
  </si>
  <si>
    <t>PANONCE</t>
  </si>
  <si>
    <t>BENJAMIN JR.</t>
  </si>
  <si>
    <t>IAN</t>
  </si>
  <si>
    <t>PLAZA</t>
  </si>
  <si>
    <t>JULIE MAR</t>
  </si>
  <si>
    <t>SERALES</t>
  </si>
  <si>
    <t>JOHN RUEL</t>
  </si>
  <si>
    <t>SHERJHUNE</t>
  </si>
  <si>
    <t>RIZA</t>
  </si>
  <si>
    <t>STASH MAUREEN</t>
  </si>
  <si>
    <t>BASTIDA</t>
  </si>
  <si>
    <t>ELENA JOE</t>
  </si>
  <si>
    <t>PRENCES JOY</t>
  </si>
  <si>
    <t>QUEENIE</t>
  </si>
  <si>
    <t>CARAMELO</t>
  </si>
  <si>
    <t>CONDES</t>
  </si>
  <si>
    <t>ALLEN MAE</t>
  </si>
  <si>
    <t>CORDOVA</t>
  </si>
  <si>
    <t>DORONILA</t>
  </si>
  <si>
    <t>JAGONOB</t>
  </si>
  <si>
    <t>ELYSA</t>
  </si>
  <si>
    <t>SALDO</t>
  </si>
  <si>
    <t>RHEANA MAE</t>
  </si>
  <si>
    <t>SIOSAN</t>
  </si>
  <si>
    <t>TESORA</t>
  </si>
  <si>
    <t>BERNADETH</t>
  </si>
  <si>
    <t>VAFLOR</t>
  </si>
  <si>
    <t>LIZEL</t>
  </si>
  <si>
    <t>VILLACERAN</t>
  </si>
  <si>
    <t>MITZ</t>
  </si>
  <si>
    <t>SCIENTISTS</t>
  </si>
  <si>
    <t>AGUPASA</t>
  </si>
  <si>
    <t>ALONTAGA</t>
  </si>
  <si>
    <t>JAYPEE JR.</t>
  </si>
  <si>
    <t>ARANA</t>
  </si>
  <si>
    <t>MARK ANTON</t>
  </si>
  <si>
    <t>BANSAG</t>
  </si>
  <si>
    <t>RAFAEL JR.</t>
  </si>
  <si>
    <t>BAYLON</t>
  </si>
  <si>
    <t>MICHAEL ANGELO JR.</t>
  </si>
  <si>
    <t>COLALJO</t>
  </si>
  <si>
    <t>DELANTE</t>
  </si>
  <si>
    <t>ERIC</t>
  </si>
  <si>
    <t>DESCALSO</t>
  </si>
  <si>
    <t>HENERATO</t>
  </si>
  <si>
    <t>J.M.</t>
  </si>
  <si>
    <t>CHRISTIAN RHEMARK</t>
  </si>
  <si>
    <t>LIM</t>
  </si>
  <si>
    <t>REGAN</t>
  </si>
  <si>
    <t>MANGGASANG</t>
  </si>
  <si>
    <t>JOHN NESTER</t>
  </si>
  <si>
    <t>MANSUETO</t>
  </si>
  <si>
    <t>METUDA</t>
  </si>
  <si>
    <t>MONTALES</t>
  </si>
  <si>
    <t>RON</t>
  </si>
  <si>
    <t>MONTARDE</t>
  </si>
  <si>
    <t>JUSTINE DREW</t>
  </si>
  <si>
    <t>OCURA</t>
  </si>
  <si>
    <t>MEL JOHN</t>
  </si>
  <si>
    <t>JHOD</t>
  </si>
  <si>
    <t>JURY MAR</t>
  </si>
  <si>
    <t>REBADOMIA</t>
  </si>
  <si>
    <t>LEBRON JAMES</t>
  </si>
  <si>
    <t>ROMELO</t>
  </si>
  <si>
    <t>JHON BYRON</t>
  </si>
  <si>
    <t>ROSENDE</t>
  </si>
  <si>
    <t>TUNGA</t>
  </si>
  <si>
    <t>JOSE MICHAEL JR.</t>
  </si>
  <si>
    <t>MATHE</t>
  </si>
  <si>
    <t>ABEVAS</t>
  </si>
  <si>
    <t>RIAN MEL</t>
  </si>
  <si>
    <t>KAYE</t>
  </si>
  <si>
    <t>CAYAO</t>
  </si>
  <si>
    <t>ELA</t>
  </si>
  <si>
    <t>DUGAYO</t>
  </si>
  <si>
    <t>CRISTY</t>
  </si>
  <si>
    <t>MADURAMENTE</t>
  </si>
  <si>
    <t>SHENNA</t>
  </si>
  <si>
    <t>CHARMEL</t>
  </si>
  <si>
    <t>NCAE STUDENT DATA - TNHS-MAGSAYSAY EXT HS</t>
  </si>
  <si>
    <t>ALEGIA</t>
  </si>
  <si>
    <t>JHOREEN</t>
  </si>
  <si>
    <t>ALIHID</t>
  </si>
  <si>
    <t>CARBO</t>
  </si>
  <si>
    <t>LANCE REYNAN</t>
  </si>
  <si>
    <t>ALFREDO</t>
  </si>
  <si>
    <t xml:space="preserve">RENZ </t>
  </si>
  <si>
    <t>DOLORZO</t>
  </si>
  <si>
    <t>JHON PAUL</t>
  </si>
  <si>
    <t>FENNIS</t>
  </si>
  <si>
    <t>JOHN LAWRENCE</t>
  </si>
  <si>
    <t>CHRIS JAN</t>
  </si>
  <si>
    <t>KEN</t>
  </si>
  <si>
    <t>HAMILON</t>
  </si>
  <si>
    <t>GERARD</t>
  </si>
  <si>
    <t>OCON</t>
  </si>
  <si>
    <t>JAMES DARREL</t>
  </si>
  <si>
    <t>117556140013</t>
  </si>
  <si>
    <t>117556140013@r6-1.deped.gov.ph</t>
  </si>
  <si>
    <t>POBLETE</t>
  </si>
  <si>
    <t>JOHN CYMON</t>
  </si>
  <si>
    <t>ROSALES</t>
  </si>
  <si>
    <t>ERNANTH</t>
  </si>
  <si>
    <t>117532150005</t>
  </si>
  <si>
    <t>117532150005@r6-1.deped.gov.ph</t>
  </si>
  <si>
    <t>TAPANAN</t>
  </si>
  <si>
    <t>117556140014</t>
  </si>
  <si>
    <t>117556140014@r6-1.deped.gov.ph</t>
  </si>
  <si>
    <t>TINGSON</t>
  </si>
  <si>
    <t>HENRICH JAY</t>
  </si>
  <si>
    <t xml:space="preserve">M </t>
  </si>
  <si>
    <t>LARGO</t>
  </si>
  <si>
    <t>117548140042</t>
  </si>
  <si>
    <t>117548140042@r6-1.deped.gov.ph</t>
  </si>
  <si>
    <t>ALSONADO</t>
  </si>
  <si>
    <t xml:space="preserve"> STEPHANIE</t>
  </si>
  <si>
    <t>CAHILIG</t>
  </si>
  <si>
    <t>INSEPIDO</t>
  </si>
  <si>
    <t>LARAH MAE</t>
  </si>
  <si>
    <t>117707150093</t>
  </si>
  <si>
    <t>117707150093@r6-1.deped.gov.ph</t>
  </si>
  <si>
    <t>LIMBANG</t>
  </si>
  <si>
    <t>CHRITINE</t>
  </si>
  <si>
    <t>117556150013</t>
  </si>
  <si>
    <t>117556150013@r6-1.deped.gov.ph</t>
  </si>
  <si>
    <t xml:space="preserve"> LOUIEMIE</t>
  </si>
  <si>
    <t>117536150096</t>
  </si>
  <si>
    <t>117536150096@r6-1.deped.gov.ph</t>
  </si>
  <si>
    <t>NOVAL</t>
  </si>
  <si>
    <t>PARREŃO</t>
  </si>
  <si>
    <t xml:space="preserve">YHEL </t>
  </si>
  <si>
    <t>RAZ</t>
  </si>
  <si>
    <t>JORINE</t>
  </si>
  <si>
    <t>RUBILLOS</t>
  </si>
  <si>
    <t>AMADOR</t>
  </si>
  <si>
    <t>BAJA</t>
  </si>
  <si>
    <t>REMARK</t>
  </si>
  <si>
    <t>CEZAR</t>
  </si>
  <si>
    <t>DELFIN</t>
  </si>
  <si>
    <t>ERME JAN</t>
  </si>
  <si>
    <t>JEMON</t>
  </si>
  <si>
    <t>DIAMANTE</t>
  </si>
  <si>
    <t>DUMDUM</t>
  </si>
  <si>
    <t>LAMIS</t>
  </si>
  <si>
    <t>AIZEL JOHN</t>
  </si>
  <si>
    <t>CHRISTIAN JAY</t>
  </si>
  <si>
    <t>LIBRE</t>
  </si>
  <si>
    <t>NICO</t>
  </si>
  <si>
    <t>MAGARSO</t>
  </si>
  <si>
    <t>ELMER</t>
  </si>
  <si>
    <t>NIALA</t>
  </si>
  <si>
    <t>KHENT JOSHUA</t>
  </si>
  <si>
    <t>OCHAVILLO</t>
  </si>
  <si>
    <t>LEVINCE</t>
  </si>
  <si>
    <t>JOHNZIEN</t>
  </si>
  <si>
    <t>JOSE JODA AUNYL</t>
  </si>
  <si>
    <t>STA. ANA</t>
  </si>
  <si>
    <t>ALUTAYA</t>
  </si>
  <si>
    <t>JIANNA</t>
  </si>
  <si>
    <t>AURITA</t>
  </si>
  <si>
    <t>JAE ANN</t>
  </si>
  <si>
    <t>BACHINELA</t>
  </si>
  <si>
    <t>JESSICA</t>
  </si>
  <si>
    <t>MAGALLANES</t>
  </si>
  <si>
    <t>MEKAELLA</t>
  </si>
  <si>
    <t>PENONIA</t>
  </si>
  <si>
    <t>ANILA PRINCESS</t>
  </si>
  <si>
    <t>SIASAT</t>
  </si>
  <si>
    <t>JOANA</t>
  </si>
  <si>
    <t>NCAE STUDENT DATA - VILLACIN NHS</t>
  </si>
  <si>
    <t>NCAE STUDENT DATA - VILLACIN NHS-SEWAHON EXT HS</t>
  </si>
  <si>
    <t>ABLAYA</t>
  </si>
  <si>
    <t>MELBERT</t>
  </si>
  <si>
    <t>VIMELDA</t>
  </si>
  <si>
    <t>AMPARO</t>
  </si>
  <si>
    <t>ANTONIO</t>
  </si>
  <si>
    <t>VIC JR.</t>
  </si>
  <si>
    <t>BRONIA</t>
  </si>
  <si>
    <t>MARY JANE</t>
  </si>
  <si>
    <t>CAMSON</t>
  </si>
  <si>
    <t>JESON</t>
  </si>
  <si>
    <t>CORTEZ</t>
  </si>
  <si>
    <t>DE-ERIO</t>
  </si>
  <si>
    <t>AIREN JANE</t>
  </si>
  <si>
    <t>DUHILAG</t>
  </si>
  <si>
    <t>NARIAN</t>
  </si>
  <si>
    <t>MICO</t>
  </si>
  <si>
    <t>HERRERA</t>
  </si>
  <si>
    <t>HONORARIO</t>
  </si>
  <si>
    <t>CARELY</t>
  </si>
  <si>
    <t>HULLEZA</t>
  </si>
  <si>
    <t>RISTY JAY</t>
  </si>
  <si>
    <t>MABUYAO</t>
  </si>
  <si>
    <t>MAGTIBAY</t>
  </si>
  <si>
    <t>ANDREI</t>
  </si>
  <si>
    <t>MAHILUM</t>
  </si>
  <si>
    <t>JHONREL</t>
  </si>
  <si>
    <t>MAYAN</t>
  </si>
  <si>
    <t>JEMAR</t>
  </si>
  <si>
    <t>MARIAN</t>
  </si>
  <si>
    <t>ferrer,302731</t>
  </si>
  <si>
    <t>BESANA</t>
  </si>
  <si>
    <t>JOSHUA IVAN</t>
  </si>
  <si>
    <t>117530150020@r6-1.deped.gov.ph</t>
  </si>
  <si>
    <t>COGONON</t>
  </si>
  <si>
    <t>CEDRIC RAIN</t>
  </si>
  <si>
    <t>117530150018@r6-1.deped.gov.ph</t>
  </si>
  <si>
    <t>CUMAWAS</t>
  </si>
  <si>
    <t>LEOMARK</t>
  </si>
  <si>
    <t>117530150019@r6-1.deped.gov.ph</t>
  </si>
  <si>
    <t>JOSUA</t>
  </si>
  <si>
    <t>117533150021@r6-1.deped.gov.ph</t>
  </si>
  <si>
    <t>DELACONCEPTION</t>
  </si>
  <si>
    <t>SAMUEL</t>
  </si>
  <si>
    <t>117530150011@r6-1.deped.gov.ph</t>
  </si>
  <si>
    <t>GENON</t>
  </si>
  <si>
    <t>117533150022@r6-1.deped.gov.ph</t>
  </si>
  <si>
    <t>GINES</t>
  </si>
  <si>
    <t>EMMANUEL, JR.</t>
  </si>
  <si>
    <t>116498150003@r6-1.deped.gov.ph</t>
  </si>
  <si>
    <t>GRIPO</t>
  </si>
  <si>
    <t>117530150041@r6-1.deped.gov.ph</t>
  </si>
  <si>
    <t>DAHILDAHIL</t>
  </si>
  <si>
    <t>SHEILA</t>
  </si>
  <si>
    <t>117533140047@r6-1.deped.gov.ph</t>
  </si>
  <si>
    <t>REGODOS</t>
  </si>
  <si>
    <t>117530150004@r6-1.deped.gov.ph</t>
  </si>
  <si>
    <t>SALVE</t>
  </si>
  <si>
    <t>SHANIA MAE</t>
  </si>
  <si>
    <t>117530150025@r6-1.deped.gov.ph</t>
  </si>
  <si>
    <t>YANSON</t>
  </si>
  <si>
    <t>JOSIEL</t>
  </si>
  <si>
    <t>117530150031@r6-1.deped.gov.ph</t>
  </si>
  <si>
    <t>MARJUNE</t>
  </si>
  <si>
    <t>117530150038@r6-1.deped.gov.ph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</si>
</sst>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rgb="FF000000"/>
      <name val="Arial"/>
      <charset val="134"/>
      <scheme val="minor"/>
    </font>
    <font>
      <b/>
      <sz val="21"/>
      <color theme="1"/>
      <name val="Arial"/>
      <charset val="134"/>
      <scheme val="minor"/>
    </font>
    <font>
      <sz val="1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SansSerif"/>
      <charset val="134"/>
    </font>
    <font>
      <sz val="12"/>
      <color theme="1"/>
      <name val="Arial"/>
      <charset val="134"/>
      <scheme val="minor"/>
    </font>
    <font>
      <sz val="12"/>
      <color rgb="FF000000"/>
      <name val="Arial"/>
      <charset val="134"/>
      <scheme val="minor"/>
    </font>
    <font>
      <sz val="12"/>
      <color rgb="FF333333"/>
      <name val="Arial"/>
      <charset val="134"/>
      <scheme val="minor"/>
    </font>
    <font>
      <sz val="11"/>
      <color rgb="FF333333"/>
      <name val="Arial"/>
      <charset val="134"/>
      <scheme val="minor"/>
    </font>
    <font>
      <u/>
      <sz val="11"/>
      <color rgb="FF800080"/>
      <name val="Arial"/>
      <scheme val="minor"/>
    </font>
    <font>
      <u/>
      <sz val="11"/>
      <color rgb="FF0000FF"/>
      <name val="Arial"/>
      <scheme val="minor"/>
    </font>
    <font>
      <sz val="11"/>
      <color rgb="FF000000"/>
      <name val="SansSerif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sz val="12"/>
      <color theme="1"/>
      <name val="Calibri"/>
      <charset val="134"/>
    </font>
    <font>
      <sz val="11"/>
      <color rgb="FF000000"/>
      <name val="&quot;Aptos Narrow&quot;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7"/>
      <color rgb="FF000000"/>
      <name val="SansSerif"/>
      <charset val="134"/>
    </font>
    <font>
      <sz val="12"/>
      <color rgb="FF000000"/>
      <name val="Calibri"/>
      <charset val="134"/>
    </font>
    <font>
      <sz val="12"/>
      <color rgb="FF000000"/>
      <name val="Tahoma"/>
      <charset val="134"/>
    </font>
    <font>
      <sz val="10"/>
      <color theme="1"/>
      <name val="SansSerif"/>
      <charset val="134"/>
    </font>
    <font>
      <sz val="11"/>
      <color rgb="FF474747"/>
      <name val="Arial"/>
      <charset val="134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25" fillId="0" borderId="0"/>
  </cellStyleXfs>
  <cellXfs count="65">
    <xf numFmtId="0" fontId="0" fillId="0" borderId="0" xfId="0"/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1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8" fillId="0" borderId="6" xfId="0" applyFont="1" applyBorder="1"/>
    <xf numFmtId="0" fontId="9" fillId="2" borderId="6" xfId="0" applyFont="1" applyFill="1" applyBorder="1"/>
    <xf numFmtId="0" fontId="9" fillId="3" borderId="6" xfId="0" applyFont="1" applyFill="1" applyBorder="1"/>
    <xf numFmtId="0" fontId="10" fillId="3" borderId="6" xfId="0" applyFont="1" applyFill="1" applyBorder="1"/>
    <xf numFmtId="0" fontId="10" fillId="2" borderId="6" xfId="0" applyFont="1" applyFill="1" applyBorder="1"/>
    <xf numFmtId="0" fontId="11" fillId="0" borderId="0" xfId="1" applyFont="1" applyAlignment="1"/>
    <xf numFmtId="0" fontId="11" fillId="0" borderId="6" xfId="1" applyFont="1" applyBorder="1" applyAlignment="1"/>
    <xf numFmtId="0" fontId="12" fillId="0" borderId="6" xfId="1" applyBorder="1" applyAlignment="1"/>
    <xf numFmtId="0" fontId="13" fillId="0" borderId="1" xfId="0" applyFont="1" applyBorder="1"/>
    <xf numFmtId="0" fontId="14" fillId="0" borderId="6" xfId="0" applyFont="1" applyBorder="1"/>
    <xf numFmtId="0" fontId="13" fillId="0" borderId="1" xfId="0" applyFont="1" applyBorder="1" applyAlignment="1">
      <alignment horizontal="center"/>
    </xf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/>
    <xf numFmtId="0" fontId="16" fillId="0" borderId="6" xfId="0" applyFont="1" applyBorder="1" applyAlignment="1">
      <alignment horizontal="center"/>
    </xf>
    <xf numFmtId="0" fontId="17" fillId="0" borderId="6" xfId="0" applyFont="1" applyBorder="1"/>
    <xf numFmtId="0" fontId="18" fillId="0" borderId="6" xfId="0" applyFont="1" applyBorder="1"/>
    <xf numFmtId="0" fontId="17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5" fillId="0" borderId="6" xfId="0" applyFont="1" applyBorder="1"/>
    <xf numFmtId="0" fontId="19" fillId="0" borderId="6" xfId="0" applyFont="1" applyBorder="1"/>
    <xf numFmtId="0" fontId="19" fillId="0" borderId="6" xfId="0" applyFont="1" applyBorder="1" applyAlignment="1">
      <alignment horizontal="center"/>
    </xf>
    <xf numFmtId="0" fontId="14" fillId="0" borderId="0" xfId="0" applyFont="1"/>
    <xf numFmtId="0" fontId="20" fillId="0" borderId="1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21" fillId="0" borderId="6" xfId="0" applyFont="1" applyBorder="1"/>
    <xf numFmtId="0" fontId="21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8" xfId="0" applyFont="1" applyBorder="1"/>
    <xf numFmtId="0" fontId="6" fillId="0" borderId="7" xfId="0" applyFont="1" applyBorder="1" applyAlignment="1">
      <alignment horizontal="center"/>
    </xf>
    <xf numFmtId="0" fontId="5" fillId="0" borderId="9" xfId="0" applyFont="1" applyBorder="1"/>
    <xf numFmtId="0" fontId="23" fillId="0" borderId="7" xfId="0" applyFont="1" applyBorder="1"/>
    <xf numFmtId="0" fontId="5" fillId="0" borderId="7" xfId="0" applyFont="1" applyBorder="1"/>
    <xf numFmtId="0" fontId="24" fillId="2" borderId="0" xfId="0" applyFont="1" applyFill="1"/>
    <xf numFmtId="0" fontId="4" fillId="0" borderId="6" xfId="0" quotePrefix="1" applyFont="1" applyBorder="1" applyAlignment="1">
      <alignment horizontal="center"/>
    </xf>
    <xf numFmtId="0" fontId="7" fillId="0" borderId="6" xfId="0" quotePrefix="1" applyFont="1" applyBorder="1"/>
    <xf numFmtId="0" fontId="26" fillId="0" borderId="6" xfId="2" applyFont="1" applyBorder="1"/>
    <xf numFmtId="0" fontId="26" fillId="0" borderId="6" xfId="2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</cellXfs>
  <cellStyles count="3">
    <cellStyle name="Hyperlink" xfId="1" builtinId="8"/>
    <cellStyle name="Normal" xfId="0" builtinId="0"/>
    <cellStyle name="Normal 2" xfId="2" xr:uid="{3C275252-9962-4627-9352-AAB1EAE14F3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117707150093@r6-1.deped.gov.ph" TargetMode="External"/><Relationship Id="rId3" Type="http://schemas.openxmlformats.org/officeDocument/2006/relationships/hyperlink" Target="mailto:117532150005@r6-1.deped.gov.ph" TargetMode="External"/><Relationship Id="rId7" Type="http://schemas.openxmlformats.org/officeDocument/2006/relationships/hyperlink" Target="mailto:117556150013@r6-1.deped.gov.ph" TargetMode="External"/><Relationship Id="rId2" Type="http://schemas.openxmlformats.org/officeDocument/2006/relationships/hyperlink" Target="mailto:117548140042@r6-1.deped.gov.ph" TargetMode="External"/><Relationship Id="rId1" Type="http://schemas.openxmlformats.org/officeDocument/2006/relationships/hyperlink" Target="mailto:117556140013@r6-1.deped.gov.ph" TargetMode="External"/><Relationship Id="rId6" Type="http://schemas.openxmlformats.org/officeDocument/2006/relationships/hyperlink" Target="mailto:117536150096@r6-1.deped.gov.ph" TargetMode="External"/><Relationship Id="rId5" Type="http://schemas.openxmlformats.org/officeDocument/2006/relationships/hyperlink" Target="mailto:117534150013@r6-1.deped.gov.ph" TargetMode="External"/><Relationship Id="rId4" Type="http://schemas.openxmlformats.org/officeDocument/2006/relationships/hyperlink" Target="mailto:117556140014@r6-1.deped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2"/>
  <sheetViews>
    <sheetView topLeftCell="D1" zoomScale="115" zoomScaleNormal="115" workbookViewId="0">
      <pane ySplit="3" topLeftCell="A80" activePane="bottomLeft" state="frozen"/>
      <selection pane="bottomLeft" activeCell="G96" sqref="G96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0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10</v>
      </c>
      <c r="C4" s="7" t="s">
        <v>11</v>
      </c>
      <c r="D4" s="7" t="s">
        <v>12</v>
      </c>
      <c r="E4" s="8" t="s">
        <v>13</v>
      </c>
      <c r="F4" s="8">
        <v>117564140001</v>
      </c>
      <c r="G4" s="7" t="str">
        <f t="shared" ref="G4:G67" si="0">IF(F4="","",F4&amp;"@r6-1.deped.gov.ph")</f>
        <v>117564140001@r6-1.deped.gov.ph</v>
      </c>
      <c r="H4" s="8" t="str">
        <f>IF(C4="","",LOWER(C4)&amp;",302729")</f>
        <v>aquino,302729</v>
      </c>
      <c r="I4" t="s">
        <v>14</v>
      </c>
    </row>
    <row r="5" spans="1:11" ht="12.75">
      <c r="A5" s="2">
        <v>2</v>
      </c>
      <c r="B5" s="7" t="s">
        <v>10</v>
      </c>
      <c r="C5" s="7" t="s">
        <v>15</v>
      </c>
      <c r="D5" s="7" t="s">
        <v>16</v>
      </c>
      <c r="E5" s="8" t="s">
        <v>17</v>
      </c>
      <c r="F5" s="8">
        <v>117559150075</v>
      </c>
      <c r="G5" s="7" t="str">
        <f t="shared" si="0"/>
        <v>117559150075@r6-1.deped.gov.ph</v>
      </c>
      <c r="H5" s="8" t="str">
        <f t="shared" ref="H5:H36" si="1">IF(C5="","",LOWER(C5)&amp;",302729")</f>
        <v>bilbar,302729</v>
      </c>
      <c r="I5" t="s">
        <v>14</v>
      </c>
    </row>
    <row r="6" spans="1:11" ht="12.75">
      <c r="A6" s="2">
        <v>3</v>
      </c>
      <c r="B6" s="7" t="s">
        <v>10</v>
      </c>
      <c r="C6" s="7" t="s">
        <v>18</v>
      </c>
      <c r="D6" s="7" t="s">
        <v>19</v>
      </c>
      <c r="E6" s="8" t="s">
        <v>20</v>
      </c>
      <c r="F6" s="8">
        <v>117560150025</v>
      </c>
      <c r="G6" s="7" t="str">
        <f t="shared" si="0"/>
        <v>117560150025@r6-1.deped.gov.ph</v>
      </c>
      <c r="H6" s="8" t="str">
        <f t="shared" si="1"/>
        <v>bonda,302729</v>
      </c>
      <c r="I6" t="s">
        <v>14</v>
      </c>
    </row>
    <row r="7" spans="1:11" ht="12.75">
      <c r="A7" s="2">
        <v>4</v>
      </c>
      <c r="B7" s="7" t="s">
        <v>10</v>
      </c>
      <c r="C7" s="7" t="s">
        <v>21</v>
      </c>
      <c r="D7" s="7" t="s">
        <v>22</v>
      </c>
      <c r="E7" s="8" t="s">
        <v>23</v>
      </c>
      <c r="F7" s="8">
        <v>117559150076</v>
      </c>
      <c r="G7" s="7" t="str">
        <f t="shared" si="0"/>
        <v>117559150076@r6-1.deped.gov.ph</v>
      </c>
      <c r="H7" s="8" t="str">
        <f t="shared" si="1"/>
        <v>caleon,302729</v>
      </c>
      <c r="I7" t="s">
        <v>14</v>
      </c>
    </row>
    <row r="8" spans="1:11" ht="12.75">
      <c r="A8" s="2">
        <v>5</v>
      </c>
      <c r="B8" s="7" t="s">
        <v>10</v>
      </c>
      <c r="C8" s="7" t="s">
        <v>24</v>
      </c>
      <c r="D8" s="7" t="s">
        <v>25</v>
      </c>
      <c r="E8" s="8" t="s">
        <v>26</v>
      </c>
      <c r="F8" s="8">
        <v>117560150023</v>
      </c>
      <c r="G8" s="7" t="str">
        <f t="shared" si="0"/>
        <v>117560150023@r6-1.deped.gov.ph</v>
      </c>
      <c r="H8" s="8" t="str">
        <f t="shared" si="1"/>
        <v>dato-on,302729</v>
      </c>
      <c r="I8" t="s">
        <v>14</v>
      </c>
    </row>
    <row r="9" spans="1:11" ht="12.75">
      <c r="A9" s="2">
        <v>6</v>
      </c>
      <c r="B9" s="7" t="s">
        <v>10</v>
      </c>
      <c r="C9" s="7" t="s">
        <v>27</v>
      </c>
      <c r="D9" s="7" t="s">
        <v>28</v>
      </c>
      <c r="E9" s="8" t="s">
        <v>13</v>
      </c>
      <c r="F9" s="8">
        <v>107888150796</v>
      </c>
      <c r="G9" s="7" t="str">
        <f t="shared" si="0"/>
        <v>107888150796@r6-1.deped.gov.ph</v>
      </c>
      <c r="H9" s="8" t="str">
        <f t="shared" si="1"/>
        <v>davo,302729</v>
      </c>
      <c r="I9" t="s">
        <v>14</v>
      </c>
    </row>
    <row r="10" spans="1:11" ht="12.75">
      <c r="A10" s="2">
        <v>7</v>
      </c>
      <c r="B10" s="7" t="s">
        <v>10</v>
      </c>
      <c r="C10" s="7" t="s">
        <v>29</v>
      </c>
      <c r="D10" s="7" t="s">
        <v>30</v>
      </c>
      <c r="E10" s="8" t="s">
        <v>31</v>
      </c>
      <c r="F10" s="8">
        <v>117559150018</v>
      </c>
      <c r="G10" s="7" t="str">
        <f t="shared" si="0"/>
        <v>117559150018@r6-1.deped.gov.ph</v>
      </c>
      <c r="H10" s="8" t="str">
        <f t="shared" si="1"/>
        <v>duca,302729</v>
      </c>
      <c r="I10" t="s">
        <v>14</v>
      </c>
    </row>
    <row r="11" spans="1:11" ht="12.75">
      <c r="A11" s="2">
        <v>8</v>
      </c>
      <c r="B11" s="7" t="s">
        <v>10</v>
      </c>
      <c r="C11" s="7" t="s">
        <v>32</v>
      </c>
      <c r="D11" s="7" t="s">
        <v>33</v>
      </c>
      <c r="E11" s="8" t="s">
        <v>34</v>
      </c>
      <c r="F11" s="8">
        <v>117559140046</v>
      </c>
      <c r="G11" s="7" t="str">
        <f t="shared" si="0"/>
        <v>117559140046@r6-1.deped.gov.ph</v>
      </c>
      <c r="H11" s="8" t="str">
        <f t="shared" si="1"/>
        <v>espinosa,302729</v>
      </c>
      <c r="I11" t="s">
        <v>14</v>
      </c>
    </row>
    <row r="12" spans="1:11" ht="12.75">
      <c r="A12" s="2">
        <v>9</v>
      </c>
      <c r="B12" s="7" t="s">
        <v>10</v>
      </c>
      <c r="C12" s="7" t="s">
        <v>32</v>
      </c>
      <c r="D12" s="7" t="s">
        <v>35</v>
      </c>
      <c r="E12" s="8" t="s">
        <v>36</v>
      </c>
      <c r="F12" s="8">
        <v>117559130004</v>
      </c>
      <c r="G12" s="7" t="str">
        <f t="shared" si="0"/>
        <v>117559130004@r6-1.deped.gov.ph</v>
      </c>
      <c r="H12" s="8" t="str">
        <f t="shared" si="1"/>
        <v>espinosa,302729</v>
      </c>
      <c r="I12" t="s">
        <v>14</v>
      </c>
    </row>
    <row r="13" spans="1:11" ht="12.75">
      <c r="A13" s="2">
        <v>10</v>
      </c>
      <c r="B13" s="7" t="s">
        <v>10</v>
      </c>
      <c r="C13" s="7" t="s">
        <v>37</v>
      </c>
      <c r="D13" s="7" t="s">
        <v>38</v>
      </c>
      <c r="E13" s="8" t="s">
        <v>39</v>
      </c>
      <c r="F13" s="8">
        <v>117560140011</v>
      </c>
      <c r="G13" s="7" t="str">
        <f t="shared" si="0"/>
        <v>117560140011@r6-1.deped.gov.ph</v>
      </c>
      <c r="H13" s="8" t="str">
        <f t="shared" si="1"/>
        <v>jenier,302729</v>
      </c>
      <c r="I13" t="s">
        <v>14</v>
      </c>
    </row>
    <row r="14" spans="1:11" ht="12.75">
      <c r="A14" s="2">
        <v>11</v>
      </c>
      <c r="B14" s="7" t="s">
        <v>10</v>
      </c>
      <c r="C14" s="7" t="s">
        <v>40</v>
      </c>
      <c r="D14" s="7" t="s">
        <v>41</v>
      </c>
      <c r="E14" s="8" t="s">
        <v>13</v>
      </c>
      <c r="F14" s="8">
        <v>117559150083</v>
      </c>
      <c r="G14" s="7" t="str">
        <f t="shared" si="0"/>
        <v>117559150083@r6-1.deped.gov.ph</v>
      </c>
      <c r="H14" s="8" t="str">
        <f t="shared" si="1"/>
        <v>magbanua,302729</v>
      </c>
      <c r="I14" t="s">
        <v>14</v>
      </c>
    </row>
    <row r="15" spans="1:11" ht="12.75">
      <c r="A15" s="2">
        <v>12</v>
      </c>
      <c r="B15" s="7" t="s">
        <v>10</v>
      </c>
      <c r="C15" s="7" t="s">
        <v>40</v>
      </c>
      <c r="D15" s="7" t="s">
        <v>42</v>
      </c>
      <c r="E15" s="8" t="s">
        <v>43</v>
      </c>
      <c r="F15" s="8">
        <v>117559160009</v>
      </c>
      <c r="G15" s="7" t="str">
        <f t="shared" si="0"/>
        <v>117559160009@r6-1.deped.gov.ph</v>
      </c>
      <c r="H15" s="8" t="str">
        <f t="shared" si="1"/>
        <v>magbanua,302729</v>
      </c>
      <c r="I15" t="s">
        <v>14</v>
      </c>
    </row>
    <row r="16" spans="1:11" ht="12.75">
      <c r="A16" s="2">
        <v>13</v>
      </c>
      <c r="B16" s="7" t="s">
        <v>10</v>
      </c>
      <c r="C16" s="7" t="s">
        <v>44</v>
      </c>
      <c r="D16" s="7" t="s">
        <v>45</v>
      </c>
      <c r="E16" s="8" t="s">
        <v>13</v>
      </c>
      <c r="F16" s="8">
        <v>117461150126</v>
      </c>
      <c r="G16" s="7" t="str">
        <f t="shared" si="0"/>
        <v>117461150126@r6-1.deped.gov.ph</v>
      </c>
      <c r="H16" s="8" t="str">
        <f t="shared" si="1"/>
        <v>pactao-in,302729</v>
      </c>
      <c r="I16" t="s">
        <v>46</v>
      </c>
    </row>
    <row r="17" spans="1:9" ht="12.75">
      <c r="A17" s="2">
        <v>14</v>
      </c>
      <c r="B17" s="7" t="s">
        <v>10</v>
      </c>
      <c r="C17" s="7" t="s">
        <v>47</v>
      </c>
      <c r="D17" s="7" t="s">
        <v>48</v>
      </c>
      <c r="E17" s="8" t="s">
        <v>13</v>
      </c>
      <c r="F17" s="8">
        <v>117559150095</v>
      </c>
      <c r="G17" s="7" t="str">
        <f t="shared" si="0"/>
        <v>117559150095@r6-1.deped.gov.ph</v>
      </c>
      <c r="H17" s="8" t="str">
        <f t="shared" si="1"/>
        <v>pamplona,302729</v>
      </c>
      <c r="I17" t="s">
        <v>14</v>
      </c>
    </row>
    <row r="18" spans="1:9" ht="12.75">
      <c r="A18" s="2">
        <v>15</v>
      </c>
      <c r="B18" s="7" t="s">
        <v>10</v>
      </c>
      <c r="C18" s="7" t="s">
        <v>49</v>
      </c>
      <c r="D18" s="7" t="s">
        <v>50</v>
      </c>
      <c r="E18" s="8" t="s">
        <v>20</v>
      </c>
      <c r="F18" s="8">
        <v>117559150048</v>
      </c>
      <c r="G18" s="7" t="str">
        <f t="shared" si="0"/>
        <v>117559150048@r6-1.deped.gov.ph</v>
      </c>
      <c r="H18" s="8" t="str">
        <f t="shared" si="1"/>
        <v>piano,302729</v>
      </c>
      <c r="I18" t="s">
        <v>46</v>
      </c>
    </row>
    <row r="19" spans="1:9" ht="12.75">
      <c r="A19" s="2">
        <v>16</v>
      </c>
      <c r="B19" s="7" t="s">
        <v>10</v>
      </c>
      <c r="C19" s="7" t="s">
        <v>51</v>
      </c>
      <c r="D19" s="7" t="s">
        <v>52</v>
      </c>
      <c r="E19" s="8" t="s">
        <v>26</v>
      </c>
      <c r="F19" s="8">
        <v>117559150002</v>
      </c>
      <c r="G19" s="7" t="str">
        <f t="shared" si="0"/>
        <v>117559150002@r6-1.deped.gov.ph</v>
      </c>
      <c r="H19" s="8" t="str">
        <f t="shared" si="1"/>
        <v>pilarez,302729</v>
      </c>
      <c r="I19" t="s">
        <v>14</v>
      </c>
    </row>
    <row r="20" spans="1:9" ht="12.75">
      <c r="A20" s="2">
        <v>17</v>
      </c>
      <c r="B20" s="7" t="s">
        <v>10</v>
      </c>
      <c r="C20" s="7" t="s">
        <v>53</v>
      </c>
      <c r="D20" s="7" t="s">
        <v>54</v>
      </c>
      <c r="E20" s="8" t="s">
        <v>39</v>
      </c>
      <c r="F20" s="8">
        <v>117346140129</v>
      </c>
      <c r="G20" s="7" t="str">
        <f t="shared" si="0"/>
        <v>117346140129@r6-1.deped.gov.ph</v>
      </c>
      <c r="H20" s="8" t="str">
        <f t="shared" si="1"/>
        <v>sibonga,302729</v>
      </c>
      <c r="I20" t="s">
        <v>14</v>
      </c>
    </row>
    <row r="21" spans="1:9" ht="12.75">
      <c r="A21" s="2">
        <v>18</v>
      </c>
      <c r="B21" s="7" t="s">
        <v>10</v>
      </c>
      <c r="C21" s="7" t="s">
        <v>55</v>
      </c>
      <c r="D21" s="7" t="s">
        <v>56</v>
      </c>
      <c r="E21" s="8" t="s">
        <v>26</v>
      </c>
      <c r="F21" s="8">
        <v>117559150050</v>
      </c>
      <c r="G21" s="7" t="str">
        <f t="shared" si="0"/>
        <v>117559150050@r6-1.deped.gov.ph</v>
      </c>
      <c r="H21" s="8" t="str">
        <f t="shared" si="1"/>
        <v>sucayre,302729</v>
      </c>
      <c r="I21" t="s">
        <v>14</v>
      </c>
    </row>
    <row r="22" spans="1:9" ht="12.75">
      <c r="A22" s="2">
        <v>19</v>
      </c>
      <c r="B22" s="7" t="s">
        <v>10</v>
      </c>
      <c r="C22" s="7" t="s">
        <v>57</v>
      </c>
      <c r="D22" s="7" t="s">
        <v>58</v>
      </c>
      <c r="E22" s="8" t="s">
        <v>59</v>
      </c>
      <c r="F22" s="8">
        <v>117559150060</v>
      </c>
      <c r="G22" s="7" t="str">
        <f t="shared" si="0"/>
        <v>117559150060@r6-1.deped.gov.ph</v>
      </c>
      <c r="H22" s="8" t="str">
        <f t="shared" si="1"/>
        <v>andrade,302729</v>
      </c>
      <c r="I22" t="s">
        <v>14</v>
      </c>
    </row>
    <row r="23" spans="1:9" ht="12.75">
      <c r="A23" s="2">
        <v>20</v>
      </c>
      <c r="B23" s="7" t="s">
        <v>10</v>
      </c>
      <c r="C23" s="7" t="s">
        <v>60</v>
      </c>
      <c r="D23" s="7" t="s">
        <v>61</v>
      </c>
      <c r="E23" s="8" t="s">
        <v>13</v>
      </c>
      <c r="F23" s="8">
        <v>117564150009</v>
      </c>
      <c r="G23" s="7" t="str">
        <f t="shared" si="0"/>
        <v>117564150009@r6-1.deped.gov.ph</v>
      </c>
      <c r="H23" s="8" t="str">
        <f t="shared" si="1"/>
        <v>apolinar,302729</v>
      </c>
      <c r="I23" t="s">
        <v>14</v>
      </c>
    </row>
    <row r="24" spans="1:9" ht="12.75">
      <c r="A24" s="2">
        <v>21</v>
      </c>
      <c r="B24" s="7" t="s">
        <v>10</v>
      </c>
      <c r="C24" s="7" t="s">
        <v>62</v>
      </c>
      <c r="D24" s="7" t="s">
        <v>63</v>
      </c>
      <c r="E24" s="8" t="s">
        <v>17</v>
      </c>
      <c r="F24" s="8">
        <v>117559150057</v>
      </c>
      <c r="G24" s="7" t="str">
        <f t="shared" si="0"/>
        <v>117559150057@r6-1.deped.gov.ph</v>
      </c>
      <c r="H24" s="8" t="str">
        <f t="shared" si="1"/>
        <v>balajadia,302729</v>
      </c>
      <c r="I24" t="s">
        <v>14</v>
      </c>
    </row>
    <row r="25" spans="1:9" ht="12.75">
      <c r="A25" s="2">
        <v>22</v>
      </c>
      <c r="B25" s="7" t="s">
        <v>10</v>
      </c>
      <c r="C25" s="7" t="s">
        <v>64</v>
      </c>
      <c r="D25" s="7" t="s">
        <v>65</v>
      </c>
      <c r="E25" s="8" t="s">
        <v>66</v>
      </c>
      <c r="F25" s="8">
        <v>117559150003</v>
      </c>
      <c r="G25" s="7" t="str">
        <f t="shared" si="0"/>
        <v>117559150003@r6-1.deped.gov.ph</v>
      </c>
      <c r="H25" s="8" t="str">
        <f t="shared" si="1"/>
        <v>derder,302729</v>
      </c>
      <c r="I25" t="s">
        <v>14</v>
      </c>
    </row>
    <row r="26" spans="1:9" ht="12.75">
      <c r="A26" s="2">
        <v>23</v>
      </c>
      <c r="B26" s="7" t="s">
        <v>10</v>
      </c>
      <c r="C26" s="7" t="s">
        <v>32</v>
      </c>
      <c r="D26" s="7" t="s">
        <v>67</v>
      </c>
      <c r="E26" s="8" t="s">
        <v>36</v>
      </c>
      <c r="F26" s="8">
        <v>117559150056</v>
      </c>
      <c r="G26" s="7" t="str">
        <f t="shared" si="0"/>
        <v>117559150056@r6-1.deped.gov.ph</v>
      </c>
      <c r="H26" s="8" t="str">
        <f t="shared" si="1"/>
        <v>espinosa,302729</v>
      </c>
      <c r="I26" t="s">
        <v>14</v>
      </c>
    </row>
    <row r="27" spans="1:9" ht="12.75">
      <c r="A27" s="2">
        <v>24</v>
      </c>
      <c r="B27" s="7" t="s">
        <v>10</v>
      </c>
      <c r="C27" s="7" t="s">
        <v>37</v>
      </c>
      <c r="D27" s="7" t="s">
        <v>68</v>
      </c>
      <c r="E27" s="8" t="s">
        <v>17</v>
      </c>
      <c r="F27" s="8">
        <v>117560150020</v>
      </c>
      <c r="G27" s="7" t="str">
        <f t="shared" si="0"/>
        <v>117560150020@r6-1.deped.gov.ph</v>
      </c>
      <c r="H27" s="8" t="str">
        <f t="shared" si="1"/>
        <v>jenier,302729</v>
      </c>
      <c r="I27" t="s">
        <v>14</v>
      </c>
    </row>
    <row r="28" spans="1:9" ht="12.75">
      <c r="A28" s="2">
        <v>25</v>
      </c>
      <c r="B28" s="7" t="s">
        <v>10</v>
      </c>
      <c r="C28" s="7" t="s">
        <v>69</v>
      </c>
      <c r="D28" s="7" t="s">
        <v>70</v>
      </c>
      <c r="E28" s="8" t="s">
        <v>71</v>
      </c>
      <c r="F28" s="8">
        <v>117496150120</v>
      </c>
      <c r="G28" s="7" t="str">
        <f t="shared" si="0"/>
        <v>117496150120@r6-1.deped.gov.ph</v>
      </c>
      <c r="H28" s="8" t="str">
        <f t="shared" si="1"/>
        <v>madrenino,302729</v>
      </c>
      <c r="I28" t="s">
        <v>14</v>
      </c>
    </row>
    <row r="29" spans="1:9" ht="12.75">
      <c r="A29" s="2">
        <v>26</v>
      </c>
      <c r="B29" s="7" t="s">
        <v>10</v>
      </c>
      <c r="C29" s="7" t="s">
        <v>72</v>
      </c>
      <c r="D29" s="7" t="s">
        <v>73</v>
      </c>
      <c r="E29" s="8" t="s">
        <v>23</v>
      </c>
      <c r="F29" s="8">
        <v>117559150068</v>
      </c>
      <c r="G29" s="7" t="str">
        <f t="shared" si="0"/>
        <v>117559150068@r6-1.deped.gov.ph</v>
      </c>
      <c r="H29" s="8" t="str">
        <f t="shared" si="1"/>
        <v>mag-alasin,302729</v>
      </c>
      <c r="I29" t="s">
        <v>14</v>
      </c>
    </row>
    <row r="30" spans="1:9" ht="12.75">
      <c r="A30" s="2">
        <v>27</v>
      </c>
      <c r="B30" s="7" t="s">
        <v>10</v>
      </c>
      <c r="C30" s="7" t="s">
        <v>74</v>
      </c>
      <c r="D30" s="7" t="s">
        <v>75</v>
      </c>
      <c r="E30" s="8" t="s">
        <v>76</v>
      </c>
      <c r="F30" s="8">
        <v>117559150026</v>
      </c>
      <c r="G30" s="7" t="str">
        <f t="shared" si="0"/>
        <v>117559150026@r6-1.deped.gov.ph</v>
      </c>
      <c r="H30" s="8" t="str">
        <f t="shared" si="1"/>
        <v>matulac,302729</v>
      </c>
      <c r="I30" t="s">
        <v>14</v>
      </c>
    </row>
    <row r="31" spans="1:9" ht="12.75">
      <c r="A31" s="2">
        <v>28</v>
      </c>
      <c r="B31" s="7" t="s">
        <v>10</v>
      </c>
      <c r="C31" s="7" t="s">
        <v>77</v>
      </c>
      <c r="D31" s="7" t="s">
        <v>78</v>
      </c>
      <c r="E31" s="8" t="s">
        <v>17</v>
      </c>
      <c r="F31" s="8">
        <v>117559150091</v>
      </c>
      <c r="G31" s="7" t="str">
        <f t="shared" si="0"/>
        <v>117559150091@r6-1.deped.gov.ph</v>
      </c>
      <c r="H31" s="8" t="str">
        <f t="shared" si="1"/>
        <v>melleza,302729</v>
      </c>
      <c r="I31" t="s">
        <v>14</v>
      </c>
    </row>
    <row r="32" spans="1:9" ht="12.75">
      <c r="A32" s="2">
        <v>29</v>
      </c>
      <c r="B32" s="7" t="s">
        <v>10</v>
      </c>
      <c r="C32" s="7" t="s">
        <v>79</v>
      </c>
      <c r="D32" s="7" t="s">
        <v>80</v>
      </c>
      <c r="E32" s="8" t="s">
        <v>17</v>
      </c>
      <c r="F32" s="8">
        <v>117524140136</v>
      </c>
      <c r="G32" s="7" t="str">
        <f t="shared" si="0"/>
        <v>117524140136@r6-1.deped.gov.ph</v>
      </c>
      <c r="H32" s="8" t="str">
        <f t="shared" si="1"/>
        <v>nieves,302729</v>
      </c>
      <c r="I32" t="s">
        <v>14</v>
      </c>
    </row>
    <row r="33" spans="1:9" ht="12.75">
      <c r="A33" s="2">
        <v>30</v>
      </c>
      <c r="B33" s="7" t="s">
        <v>10</v>
      </c>
      <c r="C33" s="7" t="s">
        <v>81</v>
      </c>
      <c r="D33" s="7" t="s">
        <v>82</v>
      </c>
      <c r="E33" s="8" t="s">
        <v>83</v>
      </c>
      <c r="F33" s="8">
        <v>117560160034</v>
      </c>
      <c r="G33" s="7" t="str">
        <f t="shared" si="0"/>
        <v>117560160034@r6-1.deped.gov.ph</v>
      </c>
      <c r="H33" s="8" t="str">
        <f t="shared" si="1"/>
        <v>pacalto,302729</v>
      </c>
      <c r="I33" t="s">
        <v>14</v>
      </c>
    </row>
    <row r="34" spans="1:9" ht="12.75">
      <c r="A34" s="2">
        <v>31</v>
      </c>
      <c r="B34" s="7" t="s">
        <v>10</v>
      </c>
      <c r="C34" s="7" t="s">
        <v>84</v>
      </c>
      <c r="D34" s="7" t="s">
        <v>85</v>
      </c>
      <c r="E34" s="8" t="s">
        <v>86</v>
      </c>
      <c r="F34" s="8">
        <v>117703150048</v>
      </c>
      <c r="G34" s="7" t="str">
        <f t="shared" si="0"/>
        <v>117703150048@r6-1.deped.gov.ph</v>
      </c>
      <c r="H34" s="8" t="str">
        <f t="shared" si="1"/>
        <v>parcon,302729</v>
      </c>
      <c r="I34" t="s">
        <v>14</v>
      </c>
    </row>
    <row r="35" spans="1:9" ht="12.75">
      <c r="A35" s="2">
        <v>32</v>
      </c>
      <c r="B35" s="7" t="s">
        <v>10</v>
      </c>
      <c r="C35" s="7" t="s">
        <v>87</v>
      </c>
      <c r="D35" s="7" t="s">
        <v>88</v>
      </c>
      <c r="E35" s="8" t="s">
        <v>36</v>
      </c>
      <c r="F35" s="8">
        <v>117559150069</v>
      </c>
      <c r="G35" s="7" t="str">
        <f t="shared" si="0"/>
        <v>117559150069@r6-1.deped.gov.ph</v>
      </c>
      <c r="H35" s="8" t="str">
        <f t="shared" si="1"/>
        <v>santiana,302729</v>
      </c>
      <c r="I35" t="s">
        <v>14</v>
      </c>
    </row>
    <row r="36" spans="1:9" ht="12.75">
      <c r="A36" s="2">
        <v>33</v>
      </c>
      <c r="B36" s="7" t="s">
        <v>10</v>
      </c>
      <c r="C36" s="7" t="s">
        <v>89</v>
      </c>
      <c r="D36" s="7" t="s">
        <v>90</v>
      </c>
      <c r="E36" s="8" t="s">
        <v>34</v>
      </c>
      <c r="F36" s="8">
        <v>117560150016</v>
      </c>
      <c r="G36" s="7" t="str">
        <f t="shared" si="0"/>
        <v>117560150016@r6-1.deped.gov.ph</v>
      </c>
      <c r="H36" s="8" t="str">
        <f t="shared" si="1"/>
        <v>sueno,302729</v>
      </c>
      <c r="I36" t="s">
        <v>14</v>
      </c>
    </row>
    <row r="37" spans="1:9" ht="12.75">
      <c r="A37" s="2">
        <v>34</v>
      </c>
      <c r="B37" s="7" t="s">
        <v>10</v>
      </c>
      <c r="C37" s="7" t="s">
        <v>91</v>
      </c>
      <c r="D37" s="7" t="s">
        <v>92</v>
      </c>
      <c r="E37" s="8" t="s">
        <v>34</v>
      </c>
      <c r="F37" s="8">
        <v>117559150092</v>
      </c>
      <c r="G37" s="7" t="str">
        <f t="shared" si="0"/>
        <v>117559150092@r6-1.deped.gov.ph</v>
      </c>
      <c r="H37" s="8" t="str">
        <f t="shared" ref="H37:H68" si="2">IF(C37="","",LOWER(C37)&amp;",302729")</f>
        <v>valencia,302729</v>
      </c>
      <c r="I37" t="s">
        <v>14</v>
      </c>
    </row>
    <row r="38" spans="1:9" ht="12.75">
      <c r="A38" s="2">
        <v>35</v>
      </c>
      <c r="B38" s="7" t="s">
        <v>10</v>
      </c>
      <c r="C38" s="7" t="s">
        <v>93</v>
      </c>
      <c r="D38" s="7" t="s">
        <v>94</v>
      </c>
      <c r="E38" s="8" t="s">
        <v>95</v>
      </c>
      <c r="F38" s="8">
        <v>117559150072</v>
      </c>
      <c r="G38" s="7" t="str">
        <f t="shared" si="0"/>
        <v>117559150072@r6-1.deped.gov.ph</v>
      </c>
      <c r="H38" s="8" t="str">
        <f t="shared" si="2"/>
        <v>wayco,302729</v>
      </c>
      <c r="I38" t="s">
        <v>14</v>
      </c>
    </row>
    <row r="39" spans="1:9" ht="12.75">
      <c r="A39" s="2">
        <v>36</v>
      </c>
      <c r="B39" s="7" t="s">
        <v>96</v>
      </c>
      <c r="C39" s="7" t="s">
        <v>97</v>
      </c>
      <c r="D39" s="7" t="s">
        <v>98</v>
      </c>
      <c r="E39" s="8" t="s">
        <v>83</v>
      </c>
      <c r="F39" s="8">
        <v>117559150001</v>
      </c>
      <c r="G39" s="7" t="str">
        <f t="shared" si="0"/>
        <v>117559150001@r6-1.deped.gov.ph</v>
      </c>
      <c r="H39" s="8" t="str">
        <f t="shared" si="2"/>
        <v>amoyo,302729</v>
      </c>
      <c r="I39" t="s">
        <v>14</v>
      </c>
    </row>
    <row r="40" spans="1:9" ht="12.75">
      <c r="A40" s="2">
        <v>37</v>
      </c>
      <c r="B40" s="7" t="s">
        <v>96</v>
      </c>
      <c r="C40" s="7" t="s">
        <v>99</v>
      </c>
      <c r="D40" s="7" t="s">
        <v>100</v>
      </c>
      <c r="E40" s="8" t="s">
        <v>83</v>
      </c>
      <c r="F40" s="8">
        <v>117479150194</v>
      </c>
      <c r="G40" s="7" t="str">
        <f t="shared" si="0"/>
        <v>117479150194@r6-1.deped.gov.ph</v>
      </c>
      <c r="H40" s="8" t="str">
        <f t="shared" si="2"/>
        <v>baliguat,302729</v>
      </c>
      <c r="I40" t="s">
        <v>14</v>
      </c>
    </row>
    <row r="41" spans="1:9" ht="12.75">
      <c r="A41" s="2">
        <v>38</v>
      </c>
      <c r="B41" s="7" t="s">
        <v>96</v>
      </c>
      <c r="C41" s="7" t="s">
        <v>101</v>
      </c>
      <c r="D41" s="7" t="s">
        <v>102</v>
      </c>
      <c r="E41" s="8" t="s">
        <v>36</v>
      </c>
      <c r="F41" s="8">
        <v>117560140040</v>
      </c>
      <c r="G41" s="7" t="str">
        <f t="shared" si="0"/>
        <v>117560140040@r6-1.deped.gov.ph</v>
      </c>
      <c r="H41" s="8" t="str">
        <f t="shared" si="2"/>
        <v>bartazan,302729</v>
      </c>
      <c r="I41" t="s">
        <v>14</v>
      </c>
    </row>
    <row r="42" spans="1:9" ht="12.75">
      <c r="A42" s="2">
        <v>39</v>
      </c>
      <c r="B42" s="7" t="s">
        <v>96</v>
      </c>
      <c r="C42" s="7" t="s">
        <v>103</v>
      </c>
      <c r="D42" s="7" t="s">
        <v>104</v>
      </c>
      <c r="E42" s="8" t="s">
        <v>26</v>
      </c>
      <c r="F42" s="8">
        <v>117559160002</v>
      </c>
      <c r="G42" s="7" t="str">
        <f t="shared" si="0"/>
        <v>117559160002@r6-1.deped.gov.ph</v>
      </c>
      <c r="H42" s="8" t="str">
        <f t="shared" si="2"/>
        <v>burgas,302729</v>
      </c>
      <c r="I42" t="s">
        <v>14</v>
      </c>
    </row>
    <row r="43" spans="1:9" ht="12.75">
      <c r="A43" s="2">
        <v>40</v>
      </c>
      <c r="B43" s="7" t="s">
        <v>96</v>
      </c>
      <c r="C43" s="7" t="s">
        <v>105</v>
      </c>
      <c r="D43" s="7" t="s">
        <v>106</v>
      </c>
      <c r="E43" s="8" t="s">
        <v>36</v>
      </c>
      <c r="F43" s="8">
        <v>117560140046</v>
      </c>
      <c r="G43" s="7" t="str">
        <f t="shared" si="0"/>
        <v>117560140046@r6-1.deped.gov.ph</v>
      </c>
      <c r="H43" s="8" t="str">
        <f t="shared" si="2"/>
        <v>dorimon,302729</v>
      </c>
      <c r="I43" t="s">
        <v>14</v>
      </c>
    </row>
    <row r="44" spans="1:9" ht="12.75">
      <c r="A44" s="2">
        <v>41</v>
      </c>
      <c r="B44" s="7" t="s">
        <v>96</v>
      </c>
      <c r="C44" s="7" t="s">
        <v>29</v>
      </c>
      <c r="D44" s="7" t="s">
        <v>107</v>
      </c>
      <c r="E44" s="8" t="s">
        <v>13</v>
      </c>
      <c r="F44" s="8">
        <v>117559150044</v>
      </c>
      <c r="G44" s="7" t="str">
        <f t="shared" si="0"/>
        <v>117559150044@r6-1.deped.gov.ph</v>
      </c>
      <c r="H44" s="8" t="str">
        <f t="shared" si="2"/>
        <v>duca,302729</v>
      </c>
      <c r="I44" t="s">
        <v>14</v>
      </c>
    </row>
    <row r="45" spans="1:9" ht="12.75">
      <c r="A45" s="2">
        <v>42</v>
      </c>
      <c r="B45" s="7" t="s">
        <v>96</v>
      </c>
      <c r="C45" s="7" t="s">
        <v>32</v>
      </c>
      <c r="D45" s="7" t="s">
        <v>108</v>
      </c>
      <c r="E45" s="8" t="s">
        <v>39</v>
      </c>
      <c r="F45" s="8">
        <v>117559150045</v>
      </c>
      <c r="G45" s="7" t="str">
        <f t="shared" si="0"/>
        <v>117559150045@r6-1.deped.gov.ph</v>
      </c>
      <c r="H45" s="8" t="str">
        <f t="shared" si="2"/>
        <v>espinosa,302729</v>
      </c>
      <c r="I45" t="s">
        <v>14</v>
      </c>
    </row>
    <row r="46" spans="1:9" ht="12.75">
      <c r="A46" s="2">
        <v>43</v>
      </c>
      <c r="B46" s="7" t="s">
        <v>96</v>
      </c>
      <c r="C46" s="7" t="s">
        <v>109</v>
      </c>
      <c r="D46" s="7" t="s">
        <v>110</v>
      </c>
      <c r="E46" s="8" t="s">
        <v>71</v>
      </c>
      <c r="F46" s="8">
        <v>117559150081</v>
      </c>
      <c r="G46" s="7" t="str">
        <f t="shared" si="0"/>
        <v>117559150081@r6-1.deped.gov.ph</v>
      </c>
      <c r="H46" s="8" t="str">
        <f t="shared" si="2"/>
        <v>legaspina,302729</v>
      </c>
      <c r="I46" t="s">
        <v>14</v>
      </c>
    </row>
    <row r="47" spans="1:9" ht="12.75">
      <c r="A47" s="2">
        <v>44</v>
      </c>
      <c r="B47" s="7" t="s">
        <v>96</v>
      </c>
      <c r="C47" s="7" t="s">
        <v>111</v>
      </c>
      <c r="D47" s="7" t="s">
        <v>112</v>
      </c>
      <c r="E47" s="8" t="s">
        <v>13</v>
      </c>
      <c r="F47" s="8">
        <v>117564150004</v>
      </c>
      <c r="G47" s="7" t="str">
        <f t="shared" si="0"/>
        <v>117564150004@r6-1.deped.gov.ph</v>
      </c>
      <c r="H47" s="8" t="str">
        <f t="shared" si="2"/>
        <v>panagdato,302729</v>
      </c>
      <c r="I47" t="s">
        <v>14</v>
      </c>
    </row>
    <row r="48" spans="1:9" ht="12.75">
      <c r="A48" s="2">
        <v>45</v>
      </c>
      <c r="B48" s="7" t="s">
        <v>96</v>
      </c>
      <c r="C48" s="7" t="s">
        <v>113</v>
      </c>
      <c r="D48" s="7" t="s">
        <v>114</v>
      </c>
      <c r="E48" s="8" t="s">
        <v>115</v>
      </c>
      <c r="F48" s="8">
        <v>117559160003</v>
      </c>
      <c r="G48" s="7" t="str">
        <f t="shared" si="0"/>
        <v>117559160003@r6-1.deped.gov.ph</v>
      </c>
      <c r="H48" s="8" t="str">
        <f t="shared" si="2"/>
        <v>pescante,302729</v>
      </c>
      <c r="I48" t="s">
        <v>14</v>
      </c>
    </row>
    <row r="49" spans="1:9" ht="12.75">
      <c r="A49" s="2">
        <v>46</v>
      </c>
      <c r="B49" s="7" t="s">
        <v>96</v>
      </c>
      <c r="C49" s="7" t="s">
        <v>116</v>
      </c>
      <c r="D49" s="7" t="s">
        <v>117</v>
      </c>
      <c r="E49" s="8" t="s">
        <v>13</v>
      </c>
      <c r="F49" s="8">
        <v>117559150016</v>
      </c>
      <c r="G49" s="7" t="str">
        <f t="shared" si="0"/>
        <v>117559150016@r6-1.deped.gov.ph</v>
      </c>
      <c r="H49" s="8" t="str">
        <f t="shared" si="2"/>
        <v>planas,302729</v>
      </c>
      <c r="I49" t="s">
        <v>14</v>
      </c>
    </row>
    <row r="50" spans="1:9" ht="12.75">
      <c r="A50" s="2">
        <v>47</v>
      </c>
      <c r="B50" s="7" t="s">
        <v>96</v>
      </c>
      <c r="C50" s="7" t="s">
        <v>118</v>
      </c>
      <c r="D50" s="7" t="s">
        <v>119</v>
      </c>
      <c r="E50" s="8" t="s">
        <v>120</v>
      </c>
      <c r="F50" s="8">
        <v>117560150003</v>
      </c>
      <c r="G50" s="7" t="str">
        <f t="shared" si="0"/>
        <v>117560150003@r6-1.deped.gov.ph</v>
      </c>
      <c r="H50" s="8" t="str">
        <f t="shared" si="2"/>
        <v>ricafort,302729</v>
      </c>
      <c r="I50" t="s">
        <v>14</v>
      </c>
    </row>
    <row r="51" spans="1:9" ht="12.75">
      <c r="A51" s="2">
        <v>48</v>
      </c>
      <c r="B51" s="7" t="s">
        <v>96</v>
      </c>
      <c r="C51" s="7" t="s">
        <v>87</v>
      </c>
      <c r="D51" s="7" t="s">
        <v>121</v>
      </c>
      <c r="E51" s="8" t="s">
        <v>34</v>
      </c>
      <c r="F51" s="8">
        <v>117559160061</v>
      </c>
      <c r="G51" s="7" t="str">
        <f t="shared" si="0"/>
        <v>117559160061@r6-1.deped.gov.ph</v>
      </c>
      <c r="H51" s="8" t="str">
        <f t="shared" si="2"/>
        <v>santiana,302729</v>
      </c>
      <c r="I51" t="s">
        <v>14</v>
      </c>
    </row>
    <row r="52" spans="1:9" ht="12.75">
      <c r="A52" s="2">
        <v>49</v>
      </c>
      <c r="B52" s="7" t="s">
        <v>96</v>
      </c>
      <c r="C52" s="7" t="s">
        <v>122</v>
      </c>
      <c r="D52" s="7" t="s">
        <v>123</v>
      </c>
      <c r="E52" s="8" t="s">
        <v>59</v>
      </c>
      <c r="F52" s="8">
        <v>117559150017</v>
      </c>
      <c r="G52" s="7" t="str">
        <f t="shared" si="0"/>
        <v>117559150017@r6-1.deped.gov.ph</v>
      </c>
      <c r="H52" s="8" t="str">
        <f t="shared" si="2"/>
        <v>subi,302729</v>
      </c>
      <c r="I52" t="s">
        <v>14</v>
      </c>
    </row>
    <row r="53" spans="1:9" ht="12.75">
      <c r="A53" s="2">
        <v>50</v>
      </c>
      <c r="B53" s="7" t="s">
        <v>96</v>
      </c>
      <c r="C53" s="7" t="s">
        <v>124</v>
      </c>
      <c r="D53" s="7" t="s">
        <v>125</v>
      </c>
      <c r="E53" s="8" t="s">
        <v>39</v>
      </c>
      <c r="F53" s="8">
        <v>117564140017</v>
      </c>
      <c r="G53" s="7" t="str">
        <f t="shared" si="0"/>
        <v>117564140017@r6-1.deped.gov.ph</v>
      </c>
      <c r="H53" s="8" t="str">
        <f t="shared" si="2"/>
        <v>tagsip,302729</v>
      </c>
      <c r="I53" t="s">
        <v>14</v>
      </c>
    </row>
    <row r="54" spans="1:9" ht="12.75">
      <c r="A54" s="2">
        <v>51</v>
      </c>
      <c r="B54" s="7" t="s">
        <v>96</v>
      </c>
      <c r="C54" s="7" t="s">
        <v>126</v>
      </c>
      <c r="D54" s="7" t="s">
        <v>127</v>
      </c>
      <c r="E54" s="8" t="s">
        <v>59</v>
      </c>
      <c r="F54" s="8">
        <v>117577150005</v>
      </c>
      <c r="G54" s="7" t="str">
        <f t="shared" si="0"/>
        <v>117577150005@r6-1.deped.gov.ph</v>
      </c>
      <c r="H54" s="8" t="str">
        <f t="shared" si="2"/>
        <v>ticar,302729</v>
      </c>
      <c r="I54" t="s">
        <v>14</v>
      </c>
    </row>
    <row r="55" spans="1:9" ht="12.75">
      <c r="A55" s="2">
        <v>52</v>
      </c>
      <c r="B55" s="7" t="s">
        <v>96</v>
      </c>
      <c r="C55" s="7" t="s">
        <v>128</v>
      </c>
      <c r="D55" s="7" t="s">
        <v>129</v>
      </c>
      <c r="E55" s="8" t="s">
        <v>120</v>
      </c>
      <c r="F55" s="8">
        <v>117559150096</v>
      </c>
      <c r="G55" s="7" t="str">
        <f t="shared" si="0"/>
        <v>117559150096@r6-1.deped.gov.ph</v>
      </c>
      <c r="H55" s="8" t="str">
        <f t="shared" si="2"/>
        <v>villaruel,302729</v>
      </c>
      <c r="I55" t="s">
        <v>14</v>
      </c>
    </row>
    <row r="56" spans="1:9" ht="12.75">
      <c r="A56" s="2">
        <v>53</v>
      </c>
      <c r="B56" s="7" t="s">
        <v>96</v>
      </c>
      <c r="C56" s="7" t="s">
        <v>130</v>
      </c>
      <c r="D56" s="7" t="s">
        <v>131</v>
      </c>
      <c r="E56" s="8" t="s">
        <v>17</v>
      </c>
      <c r="F56" s="8">
        <v>117559150024</v>
      </c>
      <c r="G56" s="7" t="str">
        <f t="shared" si="0"/>
        <v>117559150024@r6-1.deped.gov.ph</v>
      </c>
      <c r="H56" s="8" t="str">
        <f t="shared" si="2"/>
        <v>aberia,302729</v>
      </c>
      <c r="I56" t="s">
        <v>14</v>
      </c>
    </row>
    <row r="57" spans="1:9" ht="12.75">
      <c r="A57" s="2">
        <v>54</v>
      </c>
      <c r="B57" s="7" t="s">
        <v>96</v>
      </c>
      <c r="C57" s="7" t="s">
        <v>132</v>
      </c>
      <c r="D57" s="7" t="s">
        <v>133</v>
      </c>
      <c r="E57" s="8" t="s">
        <v>17</v>
      </c>
      <c r="F57" s="8">
        <v>117559150025</v>
      </c>
      <c r="G57" s="7" t="str">
        <f t="shared" si="0"/>
        <v>117559150025@r6-1.deped.gov.ph</v>
      </c>
      <c r="H57" s="8" t="str">
        <f t="shared" si="2"/>
        <v>aguirre,302729</v>
      </c>
      <c r="I57" t="s">
        <v>14</v>
      </c>
    </row>
    <row r="58" spans="1:9" ht="12.75">
      <c r="A58" s="2">
        <v>55</v>
      </c>
      <c r="B58" s="7" t="s">
        <v>96</v>
      </c>
      <c r="C58" s="7" t="s">
        <v>134</v>
      </c>
      <c r="D58" s="7" t="s">
        <v>135</v>
      </c>
      <c r="E58" s="8" t="s">
        <v>71</v>
      </c>
      <c r="F58" s="8">
        <v>117560140056</v>
      </c>
      <c r="G58" s="7" t="str">
        <f t="shared" si="0"/>
        <v>117560140056@r6-1.deped.gov.ph</v>
      </c>
      <c r="H58" s="8" t="str">
        <f t="shared" si="2"/>
        <v>berte,302729</v>
      </c>
      <c r="I58" t="s">
        <v>14</v>
      </c>
    </row>
    <row r="59" spans="1:9" ht="12.75">
      <c r="A59" s="2">
        <v>56</v>
      </c>
      <c r="B59" s="7" t="s">
        <v>96</v>
      </c>
      <c r="C59" s="7" t="s">
        <v>15</v>
      </c>
      <c r="D59" s="7" t="s">
        <v>65</v>
      </c>
      <c r="E59" s="8" t="s">
        <v>83</v>
      </c>
      <c r="F59" s="8">
        <v>117559150062</v>
      </c>
      <c r="G59" s="7" t="str">
        <f t="shared" si="0"/>
        <v>117559150062@r6-1.deped.gov.ph</v>
      </c>
      <c r="H59" s="8" t="str">
        <f t="shared" si="2"/>
        <v>bilbar,302729</v>
      </c>
      <c r="I59" t="s">
        <v>14</v>
      </c>
    </row>
    <row r="60" spans="1:9" ht="12.75">
      <c r="A60" s="2">
        <v>57</v>
      </c>
      <c r="B60" s="7" t="s">
        <v>96</v>
      </c>
      <c r="C60" s="7" t="s">
        <v>136</v>
      </c>
      <c r="D60" s="7" t="s">
        <v>137</v>
      </c>
      <c r="E60" s="8" t="s">
        <v>23</v>
      </c>
      <c r="F60" s="8">
        <v>117559130019</v>
      </c>
      <c r="G60" s="7" t="str">
        <f t="shared" si="0"/>
        <v>117559130019@r6-1.deped.gov.ph</v>
      </c>
      <c r="H60" s="8" t="str">
        <f t="shared" si="2"/>
        <v>caballero,302729</v>
      </c>
      <c r="I60" t="s">
        <v>14</v>
      </c>
    </row>
    <row r="61" spans="1:9" ht="12.75">
      <c r="A61" s="2">
        <v>58</v>
      </c>
      <c r="B61" s="7" t="s">
        <v>96</v>
      </c>
      <c r="C61" s="7" t="s">
        <v>138</v>
      </c>
      <c r="D61" s="7" t="s">
        <v>139</v>
      </c>
      <c r="E61" s="8" t="s">
        <v>59</v>
      </c>
      <c r="F61" s="8">
        <v>117568150015</v>
      </c>
      <c r="G61" s="7" t="str">
        <f t="shared" si="0"/>
        <v>117568150015@r6-1.deped.gov.ph</v>
      </c>
      <c r="H61" s="8" t="str">
        <f t="shared" si="2"/>
        <v>cabelara,302729</v>
      </c>
      <c r="I61" t="s">
        <v>14</v>
      </c>
    </row>
    <row r="62" spans="1:9" ht="12.75">
      <c r="A62" s="2">
        <v>59</v>
      </c>
      <c r="B62" s="7" t="s">
        <v>96</v>
      </c>
      <c r="C62" s="7" t="s">
        <v>140</v>
      </c>
      <c r="D62" s="7" t="s">
        <v>141</v>
      </c>
      <c r="E62" s="8" t="s">
        <v>83</v>
      </c>
      <c r="F62" s="8">
        <v>117559160012</v>
      </c>
      <c r="G62" s="7" t="str">
        <f t="shared" si="0"/>
        <v>117559160012@r6-1.deped.gov.ph</v>
      </c>
      <c r="H62" s="8" t="str">
        <f t="shared" si="2"/>
        <v>cagas,302729</v>
      </c>
      <c r="I62" t="s">
        <v>14</v>
      </c>
    </row>
    <row r="63" spans="1:9" ht="12.75">
      <c r="A63" s="2">
        <v>60</v>
      </c>
      <c r="B63" s="7" t="s">
        <v>96</v>
      </c>
      <c r="C63" s="7" t="s">
        <v>142</v>
      </c>
      <c r="D63" s="7" t="s">
        <v>143</v>
      </c>
      <c r="E63" s="8" t="s">
        <v>26</v>
      </c>
      <c r="F63" s="8">
        <v>117449150234</v>
      </c>
      <c r="G63" s="7" t="str">
        <f t="shared" si="0"/>
        <v>117449150234@r6-1.deped.gov.ph</v>
      </c>
      <c r="H63" s="8" t="str">
        <f t="shared" si="2"/>
        <v>desierto,302729</v>
      </c>
      <c r="I63" t="s">
        <v>46</v>
      </c>
    </row>
    <row r="64" spans="1:9" ht="12.75">
      <c r="A64" s="2">
        <v>61</v>
      </c>
      <c r="B64" s="7" t="s">
        <v>96</v>
      </c>
      <c r="C64" s="7" t="s">
        <v>144</v>
      </c>
      <c r="D64" s="7" t="s">
        <v>145</v>
      </c>
      <c r="E64" s="8" t="s">
        <v>83</v>
      </c>
      <c r="F64" s="8">
        <v>117559150090</v>
      </c>
      <c r="G64" s="7" t="str">
        <f t="shared" si="0"/>
        <v>117559150090@r6-1.deped.gov.ph</v>
      </c>
      <c r="H64" s="8" t="str">
        <f t="shared" si="2"/>
        <v>elegano,302729</v>
      </c>
      <c r="I64" t="s">
        <v>14</v>
      </c>
    </row>
    <row r="65" spans="1:9" ht="12.75">
      <c r="A65" s="2">
        <v>62</v>
      </c>
      <c r="B65" s="7" t="s">
        <v>96</v>
      </c>
      <c r="C65" s="7" t="s">
        <v>146</v>
      </c>
      <c r="D65" s="7" t="s">
        <v>147</v>
      </c>
      <c r="E65" s="8" t="s">
        <v>71</v>
      </c>
      <c r="F65" s="8">
        <v>104991150145</v>
      </c>
      <c r="G65" s="7" t="str">
        <f t="shared" si="0"/>
        <v>104991150145@r6-1.deped.gov.ph</v>
      </c>
      <c r="H65" s="8" t="str">
        <f t="shared" si="2"/>
        <v>estacio,302729</v>
      </c>
      <c r="I65" t="s">
        <v>14</v>
      </c>
    </row>
    <row r="66" spans="1:9" ht="12.75">
      <c r="A66" s="2">
        <v>63</v>
      </c>
      <c r="B66" s="7" t="s">
        <v>96</v>
      </c>
      <c r="C66" s="7" t="s">
        <v>148</v>
      </c>
      <c r="D66" s="7" t="s">
        <v>149</v>
      </c>
      <c r="E66" s="8" t="s">
        <v>34</v>
      </c>
      <c r="F66" s="8">
        <v>117559150058</v>
      </c>
      <c r="G66" s="7" t="str">
        <f t="shared" si="0"/>
        <v>117559150058@r6-1.deped.gov.ph</v>
      </c>
      <c r="H66" s="8" t="str">
        <f t="shared" si="2"/>
        <v>lanohan,302729</v>
      </c>
      <c r="I66" t="s">
        <v>14</v>
      </c>
    </row>
    <row r="67" spans="1:9" ht="12.75">
      <c r="A67" s="2">
        <v>64</v>
      </c>
      <c r="B67" s="7" t="s">
        <v>96</v>
      </c>
      <c r="C67" s="7" t="s">
        <v>150</v>
      </c>
      <c r="D67" s="7" t="s">
        <v>151</v>
      </c>
      <c r="E67" s="8" t="s">
        <v>120</v>
      </c>
      <c r="F67" s="8">
        <v>117564150018</v>
      </c>
      <c r="G67" s="7" t="str">
        <f t="shared" si="0"/>
        <v>117564150018@r6-1.deped.gov.ph</v>
      </c>
      <c r="H67" s="8" t="str">
        <f t="shared" si="2"/>
        <v>obinque,302729</v>
      </c>
      <c r="I67" t="s">
        <v>14</v>
      </c>
    </row>
    <row r="68" spans="1:9" ht="12.75">
      <c r="A68" s="2">
        <v>65</v>
      </c>
      <c r="B68" s="7" t="s">
        <v>96</v>
      </c>
      <c r="C68" s="7" t="s">
        <v>81</v>
      </c>
      <c r="D68" s="7" t="s">
        <v>152</v>
      </c>
      <c r="E68" s="8" t="s">
        <v>26</v>
      </c>
      <c r="F68" s="8">
        <v>117560150022</v>
      </c>
      <c r="G68" s="7" t="str">
        <f t="shared" ref="G68:G107" si="3">IF(F68="","",F68&amp;"@r6-1.deped.gov.ph")</f>
        <v>117560150022@r6-1.deped.gov.ph</v>
      </c>
      <c r="H68" s="8" t="str">
        <f t="shared" si="2"/>
        <v>pacalto,302729</v>
      </c>
      <c r="I68" t="s">
        <v>14</v>
      </c>
    </row>
    <row r="69" spans="1:9" ht="12.75">
      <c r="A69" s="2">
        <v>66</v>
      </c>
      <c r="B69" s="7" t="s">
        <v>96</v>
      </c>
      <c r="C69" s="7" t="s">
        <v>153</v>
      </c>
      <c r="D69" s="7" t="s">
        <v>154</v>
      </c>
      <c r="E69" s="8" t="s">
        <v>34</v>
      </c>
      <c r="F69" s="8">
        <v>117559150028</v>
      </c>
      <c r="G69" s="7" t="str">
        <f t="shared" si="3"/>
        <v>117559150028@r6-1.deped.gov.ph</v>
      </c>
      <c r="H69" s="8" t="str">
        <f t="shared" ref="H69:H107" si="4">IF(C69="","",LOWER(C69)&amp;",302729")</f>
        <v>romay,302729</v>
      </c>
      <c r="I69" t="s">
        <v>14</v>
      </c>
    </row>
    <row r="70" spans="1:9" ht="12.75">
      <c r="A70" s="2">
        <v>67</v>
      </c>
      <c r="B70" s="7" t="s">
        <v>96</v>
      </c>
      <c r="C70" s="7" t="s">
        <v>155</v>
      </c>
      <c r="D70" s="7" t="s">
        <v>156</v>
      </c>
      <c r="E70" s="8" t="s">
        <v>26</v>
      </c>
      <c r="F70" s="8">
        <v>117560140062</v>
      </c>
      <c r="G70" s="7" t="str">
        <f t="shared" si="3"/>
        <v>117560140062@r6-1.deped.gov.ph</v>
      </c>
      <c r="H70" s="8" t="str">
        <f t="shared" si="4"/>
        <v>sumabong,302729</v>
      </c>
      <c r="I70" t="s">
        <v>14</v>
      </c>
    </row>
    <row r="71" spans="1:9" ht="12.75">
      <c r="A71" s="2">
        <v>68</v>
      </c>
      <c r="B71" s="7" t="s">
        <v>96</v>
      </c>
      <c r="C71" s="7" t="s">
        <v>157</v>
      </c>
      <c r="D71" s="7" t="s">
        <v>158</v>
      </c>
      <c r="E71" s="8" t="s">
        <v>83</v>
      </c>
      <c r="F71" s="8">
        <v>117559150027</v>
      </c>
      <c r="G71" s="7" t="str">
        <f t="shared" si="3"/>
        <v>117559150027@r6-1.deped.gov.ph</v>
      </c>
      <c r="H71" s="8" t="str">
        <f t="shared" si="4"/>
        <v>villasor,302729</v>
      </c>
      <c r="I71" t="s">
        <v>14</v>
      </c>
    </row>
    <row r="72" spans="1:9" ht="12.75">
      <c r="A72" s="2">
        <v>69</v>
      </c>
      <c r="B72" s="7" t="s">
        <v>159</v>
      </c>
      <c r="C72" s="7" t="s">
        <v>160</v>
      </c>
      <c r="D72" s="7" t="s">
        <v>161</v>
      </c>
      <c r="E72" s="8" t="s">
        <v>71</v>
      </c>
      <c r="F72" s="8">
        <v>117559140048</v>
      </c>
      <c r="G72" s="7" t="str">
        <f t="shared" si="3"/>
        <v>117559140048@r6-1.deped.gov.ph</v>
      </c>
      <c r="H72" s="8" t="str">
        <f t="shared" si="4"/>
        <v>amania,302729</v>
      </c>
      <c r="I72" t="s">
        <v>14</v>
      </c>
    </row>
    <row r="73" spans="1:9" ht="12.75">
      <c r="A73" s="2">
        <v>70</v>
      </c>
      <c r="B73" s="7" t="s">
        <v>159</v>
      </c>
      <c r="C73" s="7" t="s">
        <v>162</v>
      </c>
      <c r="D73" s="7" t="s">
        <v>28</v>
      </c>
      <c r="E73" s="8" t="s">
        <v>66</v>
      </c>
      <c r="F73" s="8">
        <v>117559150094</v>
      </c>
      <c r="G73" s="7" t="str">
        <f t="shared" si="3"/>
        <v>117559150094@r6-1.deped.gov.ph</v>
      </c>
      <c r="H73" s="8" t="str">
        <f t="shared" si="4"/>
        <v>barredo,302729</v>
      </c>
      <c r="I73" t="s">
        <v>14</v>
      </c>
    </row>
    <row r="74" spans="1:9" ht="12.75">
      <c r="A74" s="2">
        <v>71</v>
      </c>
      <c r="B74" s="7" t="s">
        <v>159</v>
      </c>
      <c r="C74" s="7" t="s">
        <v>163</v>
      </c>
      <c r="D74" s="7" t="s">
        <v>164</v>
      </c>
      <c r="E74" s="8" t="s">
        <v>26</v>
      </c>
      <c r="F74" s="8">
        <v>117563150058</v>
      </c>
      <c r="G74" s="7" t="str">
        <f t="shared" si="3"/>
        <v>117563150058@r6-1.deped.gov.ph</v>
      </c>
      <c r="H74" s="8" t="str">
        <f t="shared" si="4"/>
        <v>depje,302729</v>
      </c>
      <c r="I74" t="s">
        <v>14</v>
      </c>
    </row>
    <row r="75" spans="1:9" ht="12.75">
      <c r="A75" s="2">
        <v>72</v>
      </c>
      <c r="B75" s="7" t="s">
        <v>159</v>
      </c>
      <c r="C75" s="7" t="s">
        <v>64</v>
      </c>
      <c r="D75" s="7" t="s">
        <v>165</v>
      </c>
      <c r="E75" s="8" t="s">
        <v>166</v>
      </c>
      <c r="F75" s="8">
        <v>117559150043</v>
      </c>
      <c r="G75" s="7" t="str">
        <f t="shared" si="3"/>
        <v>117559150043@r6-1.deped.gov.ph</v>
      </c>
      <c r="H75" s="8" t="str">
        <f t="shared" si="4"/>
        <v>derder,302729</v>
      </c>
      <c r="I75" t="s">
        <v>14</v>
      </c>
    </row>
    <row r="76" spans="1:9" ht="12.75">
      <c r="A76" s="2">
        <v>73</v>
      </c>
      <c r="B76" s="7" t="s">
        <v>159</v>
      </c>
      <c r="C76" s="7" t="s">
        <v>167</v>
      </c>
      <c r="D76" s="7" t="s">
        <v>168</v>
      </c>
      <c r="E76" s="8" t="s">
        <v>71</v>
      </c>
      <c r="F76" s="8">
        <v>117559150015</v>
      </c>
      <c r="G76" s="7" t="str">
        <f t="shared" si="3"/>
        <v>117559150015@r6-1.deped.gov.ph</v>
      </c>
      <c r="H76" s="8" t="str">
        <f t="shared" si="4"/>
        <v>escandelor,302729</v>
      </c>
      <c r="I76" t="s">
        <v>14</v>
      </c>
    </row>
    <row r="77" spans="1:9" ht="12.75">
      <c r="A77" s="2">
        <v>74</v>
      </c>
      <c r="B77" s="7" t="s">
        <v>159</v>
      </c>
      <c r="C77" s="7" t="s">
        <v>169</v>
      </c>
      <c r="D77" s="7" t="s">
        <v>170</v>
      </c>
      <c r="E77" s="8" t="s">
        <v>13</v>
      </c>
      <c r="F77" s="8">
        <v>117559160011</v>
      </c>
      <c r="G77" s="7" t="str">
        <f t="shared" si="3"/>
        <v>117559160011@r6-1.deped.gov.ph</v>
      </c>
      <c r="H77" s="8" t="str">
        <f t="shared" si="4"/>
        <v>esmellarin,302729</v>
      </c>
      <c r="I77" t="s">
        <v>14</v>
      </c>
    </row>
    <row r="78" spans="1:9" ht="12.75">
      <c r="A78" s="2">
        <v>75</v>
      </c>
      <c r="B78" s="7" t="s">
        <v>159</v>
      </c>
      <c r="C78" s="7" t="s">
        <v>171</v>
      </c>
      <c r="D78" s="7" t="s">
        <v>164</v>
      </c>
      <c r="E78" s="8" t="s">
        <v>120</v>
      </c>
      <c r="F78" s="8">
        <v>117559160005</v>
      </c>
      <c r="G78" s="7" t="str">
        <f t="shared" si="3"/>
        <v>117559160005@r6-1.deped.gov.ph</v>
      </c>
      <c r="H78" s="8" t="str">
        <f t="shared" si="4"/>
        <v>hondrada,302729</v>
      </c>
      <c r="I78" t="s">
        <v>14</v>
      </c>
    </row>
    <row r="79" spans="1:9" ht="12.75">
      <c r="A79" s="2">
        <v>76</v>
      </c>
      <c r="B79" s="7" t="s">
        <v>159</v>
      </c>
      <c r="C79" s="7" t="s">
        <v>172</v>
      </c>
      <c r="D79" s="7" t="s">
        <v>173</v>
      </c>
      <c r="E79" s="8" t="s">
        <v>83</v>
      </c>
      <c r="F79" s="8">
        <v>117559140035</v>
      </c>
      <c r="G79" s="7" t="str">
        <f t="shared" si="3"/>
        <v>117559140035@r6-1.deped.gov.ph</v>
      </c>
      <c r="H79" s="8" t="str">
        <f t="shared" si="4"/>
        <v>llano,302729</v>
      </c>
      <c r="I79" t="s">
        <v>14</v>
      </c>
    </row>
    <row r="80" spans="1:9" ht="12.75">
      <c r="A80" s="2">
        <v>77</v>
      </c>
      <c r="B80" s="7" t="s">
        <v>159</v>
      </c>
      <c r="C80" s="7" t="s">
        <v>174</v>
      </c>
      <c r="D80" s="7" t="s">
        <v>175</v>
      </c>
      <c r="E80" s="8" t="s">
        <v>39</v>
      </c>
      <c r="F80" s="8">
        <v>117559160008</v>
      </c>
      <c r="G80" s="7" t="str">
        <f t="shared" si="3"/>
        <v>117559160008@r6-1.deped.gov.ph</v>
      </c>
      <c r="H80" s="8" t="str">
        <f t="shared" si="4"/>
        <v>lutero,302729</v>
      </c>
      <c r="I80" t="s">
        <v>14</v>
      </c>
    </row>
    <row r="81" spans="1:9" ht="12.75">
      <c r="A81" s="2">
        <v>78</v>
      </c>
      <c r="B81" s="7" t="s">
        <v>159</v>
      </c>
      <c r="C81" s="7" t="s">
        <v>176</v>
      </c>
      <c r="D81" s="7" t="s">
        <v>177</v>
      </c>
      <c r="E81" s="8" t="s">
        <v>95</v>
      </c>
      <c r="F81" s="8">
        <v>117577140016</v>
      </c>
      <c r="G81" s="7" t="str">
        <f t="shared" si="3"/>
        <v>117577140016@r6-1.deped.gov.ph</v>
      </c>
      <c r="H81" s="8" t="str">
        <f t="shared" si="4"/>
        <v>mesiorado,302729</v>
      </c>
      <c r="I81" t="s">
        <v>14</v>
      </c>
    </row>
    <row r="82" spans="1:9" ht="12.75">
      <c r="A82" s="2">
        <v>79</v>
      </c>
      <c r="B82" s="7" t="s">
        <v>159</v>
      </c>
      <c r="C82" s="7" t="s">
        <v>178</v>
      </c>
      <c r="D82" s="7" t="s">
        <v>179</v>
      </c>
      <c r="E82" s="8" t="s">
        <v>120</v>
      </c>
      <c r="F82" s="8">
        <v>117559140100</v>
      </c>
      <c r="G82" s="7" t="str">
        <f t="shared" si="3"/>
        <v>117559140100@r6-1.deped.gov.ph</v>
      </c>
      <c r="H82" s="8" t="str">
        <f t="shared" si="4"/>
        <v>mondejar,302729</v>
      </c>
      <c r="I82" t="s">
        <v>14</v>
      </c>
    </row>
    <row r="83" spans="1:9" ht="12.75">
      <c r="A83" s="2">
        <v>80</v>
      </c>
      <c r="B83" s="7" t="s">
        <v>159</v>
      </c>
      <c r="C83" s="7" t="s">
        <v>180</v>
      </c>
      <c r="D83" s="7" t="s">
        <v>181</v>
      </c>
      <c r="E83" s="8" t="s">
        <v>31</v>
      </c>
      <c r="F83" s="8">
        <v>117563150070</v>
      </c>
      <c r="G83" s="7" t="str">
        <f t="shared" si="3"/>
        <v>117563150070@r6-1.deped.gov.ph</v>
      </c>
      <c r="H83" s="8" t="str">
        <f t="shared" si="4"/>
        <v>monteposo,302729</v>
      </c>
      <c r="I83" t="s">
        <v>14</v>
      </c>
    </row>
    <row r="84" spans="1:9" ht="12.75">
      <c r="A84" s="2">
        <v>81</v>
      </c>
      <c r="B84" s="7" t="s">
        <v>159</v>
      </c>
      <c r="C84" s="7" t="s">
        <v>49</v>
      </c>
      <c r="D84" s="7" t="s">
        <v>182</v>
      </c>
      <c r="E84" s="8" t="s">
        <v>120</v>
      </c>
      <c r="F84" s="8">
        <v>117568120017</v>
      </c>
      <c r="G84" s="7" t="str">
        <f t="shared" si="3"/>
        <v>117568120017@r6-1.deped.gov.ph</v>
      </c>
      <c r="H84" s="8" t="str">
        <f t="shared" si="4"/>
        <v>piano,302729</v>
      </c>
      <c r="I84" t="s">
        <v>14</v>
      </c>
    </row>
    <row r="85" spans="1:9" ht="12.75">
      <c r="A85" s="2">
        <v>82</v>
      </c>
      <c r="B85" s="7" t="s">
        <v>159</v>
      </c>
      <c r="C85" s="7" t="s">
        <v>183</v>
      </c>
      <c r="D85" s="7" t="s">
        <v>50</v>
      </c>
      <c r="E85" s="8" t="s">
        <v>120</v>
      </c>
      <c r="F85" s="8">
        <v>117559150085</v>
      </c>
      <c r="G85" s="7" t="str">
        <f t="shared" si="3"/>
        <v>117559150085@r6-1.deped.gov.ph</v>
      </c>
      <c r="H85" s="8" t="str">
        <f t="shared" si="4"/>
        <v>sabala,302729</v>
      </c>
      <c r="I85" t="s">
        <v>14</v>
      </c>
    </row>
    <row r="86" spans="1:9" ht="12.75">
      <c r="A86" s="2">
        <v>83</v>
      </c>
      <c r="B86" s="7" t="s">
        <v>159</v>
      </c>
      <c r="C86" s="7" t="s">
        <v>184</v>
      </c>
      <c r="D86" s="7" t="s">
        <v>185</v>
      </c>
      <c r="E86" s="8" t="s">
        <v>76</v>
      </c>
      <c r="F86" s="8">
        <v>117560150005</v>
      </c>
      <c r="G86" s="7" t="str">
        <f t="shared" si="3"/>
        <v>117560150005@r6-1.deped.gov.ph</v>
      </c>
      <c r="H86" s="8" t="str">
        <f t="shared" si="4"/>
        <v>serdena,302729</v>
      </c>
      <c r="I86" t="s">
        <v>14</v>
      </c>
    </row>
    <row r="87" spans="1:9" ht="12.75">
      <c r="A87" s="2">
        <v>84</v>
      </c>
      <c r="B87" s="7" t="s">
        <v>159</v>
      </c>
      <c r="C87" s="7" t="s">
        <v>186</v>
      </c>
      <c r="D87" s="7" t="s">
        <v>187</v>
      </c>
      <c r="E87" s="8" t="s">
        <v>71</v>
      </c>
      <c r="F87" s="8">
        <v>117059150042</v>
      </c>
      <c r="G87" s="7" t="str">
        <f t="shared" si="3"/>
        <v>117059150042@r6-1.deped.gov.ph</v>
      </c>
      <c r="H87" s="8" t="str">
        <f t="shared" si="4"/>
        <v>sinayo,302729</v>
      </c>
      <c r="I87" t="s">
        <v>14</v>
      </c>
    </row>
    <row r="88" spans="1:9" ht="12.75">
      <c r="A88" s="2">
        <v>85</v>
      </c>
      <c r="B88" s="7" t="s">
        <v>159</v>
      </c>
      <c r="C88" s="7" t="s">
        <v>188</v>
      </c>
      <c r="D88" s="7" t="s">
        <v>189</v>
      </c>
      <c r="E88" s="8" t="s">
        <v>83</v>
      </c>
      <c r="F88" s="8">
        <v>117559150087</v>
      </c>
      <c r="G88" s="7" t="str">
        <f t="shared" si="3"/>
        <v>117559150087@r6-1.deped.gov.ph</v>
      </c>
      <c r="H88" s="8" t="str">
        <f t="shared" si="4"/>
        <v>villaflor,302729</v>
      </c>
      <c r="I88" t="s">
        <v>14</v>
      </c>
    </row>
    <row r="89" spans="1:9" ht="12.75">
      <c r="A89" s="2">
        <v>86</v>
      </c>
      <c r="B89" s="7" t="s">
        <v>159</v>
      </c>
      <c r="C89" s="7" t="s">
        <v>190</v>
      </c>
      <c r="D89" s="7" t="s">
        <v>191</v>
      </c>
      <c r="E89" s="8" t="s">
        <v>76</v>
      </c>
      <c r="F89" s="8">
        <v>117560150011</v>
      </c>
      <c r="G89" s="7" t="str">
        <f t="shared" si="3"/>
        <v>117560150011@r6-1.deped.gov.ph</v>
      </c>
      <c r="H89" s="8" t="str">
        <f t="shared" si="4"/>
        <v>apurado,302729</v>
      </c>
      <c r="I89" t="s">
        <v>14</v>
      </c>
    </row>
    <row r="90" spans="1:9" ht="12.75">
      <c r="A90" s="2">
        <v>87</v>
      </c>
      <c r="B90" s="7" t="s">
        <v>159</v>
      </c>
      <c r="C90" s="7" t="s">
        <v>192</v>
      </c>
      <c r="D90" s="7" t="s">
        <v>193</v>
      </c>
      <c r="E90" s="8" t="s">
        <v>17</v>
      </c>
      <c r="F90" s="8">
        <v>117559150009</v>
      </c>
      <c r="G90" s="7" t="str">
        <f t="shared" si="3"/>
        <v>117559150009@r6-1.deped.gov.ph</v>
      </c>
      <c r="H90" s="8" t="str">
        <f t="shared" si="4"/>
        <v>arique,302729</v>
      </c>
      <c r="I90" t="s">
        <v>14</v>
      </c>
    </row>
    <row r="91" spans="1:9" ht="12.75">
      <c r="A91" s="2">
        <v>88</v>
      </c>
      <c r="B91" s="7" t="s">
        <v>159</v>
      </c>
      <c r="C91" s="7" t="s">
        <v>194</v>
      </c>
      <c r="D91" s="7" t="s">
        <v>195</v>
      </c>
      <c r="E91" s="8" t="s">
        <v>71</v>
      </c>
      <c r="F91" s="8">
        <v>117559150054</v>
      </c>
      <c r="G91" s="7" t="str">
        <f t="shared" si="3"/>
        <v>117559150054@r6-1.deped.gov.ph</v>
      </c>
      <c r="H91" s="8" t="str">
        <f t="shared" si="4"/>
        <v>barros,302729</v>
      </c>
      <c r="I91" t="s">
        <v>14</v>
      </c>
    </row>
    <row r="92" spans="1:9" ht="12.75">
      <c r="A92" s="2">
        <v>89</v>
      </c>
      <c r="B92" s="7" t="s">
        <v>159</v>
      </c>
      <c r="C92" s="7" t="s">
        <v>196</v>
      </c>
      <c r="D92" s="7" t="s">
        <v>197</v>
      </c>
      <c r="E92" s="8" t="s">
        <v>34</v>
      </c>
      <c r="F92" s="8">
        <v>117559150059</v>
      </c>
      <c r="G92" s="7" t="str">
        <f t="shared" si="3"/>
        <v>117559150059@r6-1.deped.gov.ph</v>
      </c>
      <c r="H92" s="8" t="str">
        <f t="shared" si="4"/>
        <v>belascuain,302729</v>
      </c>
      <c r="I92" t="s">
        <v>14</v>
      </c>
    </row>
    <row r="93" spans="1:9" ht="12.75">
      <c r="A93" s="2">
        <v>90</v>
      </c>
      <c r="B93" s="7" t="s">
        <v>159</v>
      </c>
      <c r="C93" s="7" t="s">
        <v>15</v>
      </c>
      <c r="D93" s="7" t="s">
        <v>198</v>
      </c>
      <c r="E93" s="8" t="s">
        <v>66</v>
      </c>
      <c r="F93" s="8">
        <v>117559140123</v>
      </c>
      <c r="G93" s="7" t="str">
        <f t="shared" si="3"/>
        <v>117559140123@r6-1.deped.gov.ph</v>
      </c>
      <c r="H93" s="8" t="str">
        <f t="shared" si="4"/>
        <v>bilbar,302729</v>
      </c>
      <c r="I93" t="s">
        <v>14</v>
      </c>
    </row>
    <row r="94" spans="1:9" ht="12.75">
      <c r="A94" s="2">
        <v>91</v>
      </c>
      <c r="B94" s="7" t="s">
        <v>159</v>
      </c>
      <c r="C94" s="7" t="s">
        <v>199</v>
      </c>
      <c r="D94" s="7" t="s">
        <v>200</v>
      </c>
      <c r="E94" s="8" t="s">
        <v>71</v>
      </c>
      <c r="F94" s="8">
        <v>117564150010</v>
      </c>
      <c r="G94" s="7" t="str">
        <f t="shared" si="3"/>
        <v>117564150010@r6-1.deped.gov.ph</v>
      </c>
      <c r="H94" s="8" t="str">
        <f t="shared" si="4"/>
        <v>cabunag,302729</v>
      </c>
      <c r="I94" t="s">
        <v>14</v>
      </c>
    </row>
    <row r="95" spans="1:9" ht="12.75">
      <c r="A95" s="2">
        <v>92</v>
      </c>
      <c r="B95" s="7" t="s">
        <v>159</v>
      </c>
      <c r="C95" s="7" t="s">
        <v>201</v>
      </c>
      <c r="D95" s="7" t="s">
        <v>202</v>
      </c>
      <c r="E95" s="8" t="s">
        <v>120</v>
      </c>
      <c r="F95" s="8">
        <v>117559150023</v>
      </c>
      <c r="G95" s="7" t="str">
        <f t="shared" si="3"/>
        <v>117559150023@r6-1.deped.gov.ph</v>
      </c>
      <c r="H95" s="8" t="str">
        <f t="shared" si="4"/>
        <v>ejano,302729</v>
      </c>
      <c r="I95" t="s">
        <v>14</v>
      </c>
    </row>
    <row r="96" spans="1:9" ht="12.75">
      <c r="A96" s="2">
        <v>93</v>
      </c>
      <c r="B96" s="7" t="s">
        <v>159</v>
      </c>
      <c r="C96" s="7" t="s">
        <v>203</v>
      </c>
      <c r="D96" s="7" t="s">
        <v>204</v>
      </c>
      <c r="E96" s="8" t="s">
        <v>34</v>
      </c>
      <c r="F96" s="8">
        <v>116428150020</v>
      </c>
      <c r="G96" s="7" t="str">
        <f t="shared" si="3"/>
        <v>116428150020@r6-1.deped.gov.ph</v>
      </c>
      <c r="H96" s="8" t="str">
        <f t="shared" si="4"/>
        <v>gabata,302729</v>
      </c>
      <c r="I96" t="s">
        <v>14</v>
      </c>
    </row>
    <row r="97" spans="1:9" ht="12.75">
      <c r="A97" s="2">
        <v>94</v>
      </c>
      <c r="B97" s="7" t="s">
        <v>159</v>
      </c>
      <c r="C97" s="7" t="s">
        <v>205</v>
      </c>
      <c r="D97" s="7" t="s">
        <v>206</v>
      </c>
      <c r="E97" s="8" t="s">
        <v>207</v>
      </c>
      <c r="F97" s="8">
        <v>117559140028</v>
      </c>
      <c r="G97" s="7" t="str">
        <f t="shared" si="3"/>
        <v>117559140028@r6-1.deped.gov.ph</v>
      </c>
      <c r="H97" s="8" t="str">
        <f t="shared" si="4"/>
        <v>inoperio,302729</v>
      </c>
      <c r="I97" t="s">
        <v>14</v>
      </c>
    </row>
    <row r="98" spans="1:9" ht="12.75">
      <c r="A98" s="2">
        <v>95</v>
      </c>
      <c r="B98" s="7" t="s">
        <v>159</v>
      </c>
      <c r="C98" s="7" t="s">
        <v>208</v>
      </c>
      <c r="D98" s="7" t="s">
        <v>88</v>
      </c>
      <c r="E98" s="8" t="s">
        <v>59</v>
      </c>
      <c r="F98" s="8">
        <v>117559150022</v>
      </c>
      <c r="G98" s="7" t="str">
        <f t="shared" si="3"/>
        <v>117559150022@r6-1.deped.gov.ph</v>
      </c>
      <c r="H98" s="8" t="str">
        <f t="shared" si="4"/>
        <v>jumawan,302729</v>
      </c>
      <c r="I98" t="s">
        <v>14</v>
      </c>
    </row>
    <row r="99" spans="1:9" ht="12.75">
      <c r="A99" s="2">
        <v>96</v>
      </c>
      <c r="B99" s="7" t="s">
        <v>159</v>
      </c>
      <c r="C99" s="7" t="s">
        <v>209</v>
      </c>
      <c r="D99" s="7" t="s">
        <v>210</v>
      </c>
      <c r="E99" s="8" t="s">
        <v>34</v>
      </c>
      <c r="F99" s="8">
        <v>117559150061</v>
      </c>
      <c r="G99" s="7" t="str">
        <f t="shared" si="3"/>
        <v>117559150061@r6-1.deped.gov.ph</v>
      </c>
      <c r="H99" s="8" t="str">
        <f>IF(C99="","",LOWER(C99)&amp;",302729")</f>
        <v>lorana,302729</v>
      </c>
      <c r="I99" t="s">
        <v>14</v>
      </c>
    </row>
    <row r="100" spans="1:9" ht="12.75">
      <c r="A100" s="2">
        <v>97</v>
      </c>
      <c r="B100" s="7" t="s">
        <v>159</v>
      </c>
      <c r="C100" s="7" t="s">
        <v>211</v>
      </c>
      <c r="D100" s="7" t="s">
        <v>212</v>
      </c>
      <c r="E100" s="8" t="s">
        <v>83</v>
      </c>
      <c r="F100" s="8">
        <v>117559150052</v>
      </c>
      <c r="G100" s="7" t="str">
        <f t="shared" si="3"/>
        <v>117559150052@r6-1.deped.gov.ph</v>
      </c>
      <c r="H100" s="8" t="str">
        <f t="shared" si="4"/>
        <v>molo,302729</v>
      </c>
      <c r="I100" t="s">
        <v>14</v>
      </c>
    </row>
    <row r="101" spans="1:9" ht="12.75">
      <c r="A101" s="2">
        <v>98</v>
      </c>
      <c r="B101" s="7" t="s">
        <v>159</v>
      </c>
      <c r="C101" s="7" t="s">
        <v>213</v>
      </c>
      <c r="D101" s="7" t="s">
        <v>214</v>
      </c>
      <c r="E101" s="8" t="s">
        <v>34</v>
      </c>
      <c r="F101" s="8">
        <v>117559150019</v>
      </c>
      <c r="G101" s="7" t="str">
        <f t="shared" si="3"/>
        <v>117559150019@r6-1.deped.gov.ph</v>
      </c>
      <c r="H101" s="8" t="str">
        <f t="shared" si="4"/>
        <v>nacar,302729</v>
      </c>
      <c r="I101" t="s">
        <v>14</v>
      </c>
    </row>
    <row r="102" spans="1:9" ht="12.75">
      <c r="A102" s="2">
        <v>99</v>
      </c>
      <c r="B102" s="7" t="s">
        <v>159</v>
      </c>
      <c r="C102" s="7" t="s">
        <v>215</v>
      </c>
      <c r="D102" s="7" t="s">
        <v>216</v>
      </c>
      <c r="E102" s="8" t="s">
        <v>39</v>
      </c>
      <c r="F102" s="8">
        <v>117559140127</v>
      </c>
      <c r="G102" s="7" t="str">
        <f t="shared" si="3"/>
        <v>117559140127@r6-1.deped.gov.ph</v>
      </c>
      <c r="H102" s="8" t="str">
        <f t="shared" si="4"/>
        <v>paubsanon,302729</v>
      </c>
      <c r="I102" t="s">
        <v>14</v>
      </c>
    </row>
    <row r="103" spans="1:9" ht="12.75">
      <c r="A103" s="2">
        <v>100</v>
      </c>
      <c r="B103" s="7" t="s">
        <v>159</v>
      </c>
      <c r="C103" s="7" t="s">
        <v>217</v>
      </c>
      <c r="D103" s="7" t="s">
        <v>218</v>
      </c>
      <c r="E103" s="8" t="s">
        <v>83</v>
      </c>
      <c r="F103" s="8">
        <v>117560150013</v>
      </c>
      <c r="G103" s="7" t="str">
        <f t="shared" si="3"/>
        <v>117560150013@r6-1.deped.gov.ph</v>
      </c>
      <c r="H103" s="8" t="str">
        <f t="shared" si="4"/>
        <v>penafiel,302729</v>
      </c>
      <c r="I103" t="s">
        <v>14</v>
      </c>
    </row>
    <row r="104" spans="1:9" ht="12.75">
      <c r="A104" s="2">
        <v>101</v>
      </c>
      <c r="B104" s="7" t="s">
        <v>159</v>
      </c>
      <c r="C104" s="7" t="s">
        <v>219</v>
      </c>
      <c r="D104" s="7" t="s">
        <v>220</v>
      </c>
      <c r="E104" s="8" t="s">
        <v>221</v>
      </c>
      <c r="F104" s="8">
        <v>225501150168</v>
      </c>
      <c r="G104" s="7" t="str">
        <f t="shared" si="3"/>
        <v>225501150168@r6-1.deped.gov.ph</v>
      </c>
      <c r="H104" s="8" t="str">
        <f t="shared" si="4"/>
        <v>penaflor,302729</v>
      </c>
      <c r="I104" t="s">
        <v>14</v>
      </c>
    </row>
    <row r="105" spans="1:9" ht="12.75">
      <c r="A105" s="2">
        <v>102</v>
      </c>
      <c r="B105" s="7" t="s">
        <v>159</v>
      </c>
      <c r="C105" s="7" t="s">
        <v>222</v>
      </c>
      <c r="D105" s="7" t="s">
        <v>223</v>
      </c>
      <c r="E105" s="8" t="s">
        <v>39</v>
      </c>
      <c r="F105" s="8">
        <v>117577150011</v>
      </c>
      <c r="G105" s="7" t="str">
        <f t="shared" si="3"/>
        <v>117577150011@r6-1.deped.gov.ph</v>
      </c>
      <c r="H105" s="8" t="str">
        <f t="shared" si="4"/>
        <v>prino,302729</v>
      </c>
      <c r="I105" t="s">
        <v>14</v>
      </c>
    </row>
    <row r="106" spans="1:9" ht="12.75">
      <c r="A106" s="2">
        <v>103</v>
      </c>
      <c r="B106" s="7" t="s">
        <v>159</v>
      </c>
      <c r="C106" s="7" t="s">
        <v>224</v>
      </c>
      <c r="D106" s="7" t="s">
        <v>225</v>
      </c>
      <c r="E106" s="8" t="s">
        <v>13</v>
      </c>
      <c r="F106" s="8">
        <v>117459150270</v>
      </c>
      <c r="G106" s="7" t="str">
        <f t="shared" si="3"/>
        <v>117459150270@r6-1.deped.gov.ph</v>
      </c>
      <c r="H106" s="8" t="str">
        <f t="shared" si="4"/>
        <v>sabornay,302729</v>
      </c>
      <c r="I106" t="s">
        <v>14</v>
      </c>
    </row>
    <row r="107" spans="1:9" ht="12.75">
      <c r="A107" s="2">
        <v>104</v>
      </c>
      <c r="B107" s="7" t="s">
        <v>159</v>
      </c>
      <c r="C107" s="7" t="s">
        <v>155</v>
      </c>
      <c r="D107" s="7" t="s">
        <v>226</v>
      </c>
      <c r="E107" s="8" t="s">
        <v>17</v>
      </c>
      <c r="F107" s="8">
        <v>117559150071</v>
      </c>
      <c r="G107" s="7" t="str">
        <f t="shared" si="3"/>
        <v>117559150071@r6-1.deped.gov.ph</v>
      </c>
      <c r="H107" s="8" t="str">
        <f t="shared" si="4"/>
        <v>sumabong,302729</v>
      </c>
      <c r="I107" t="s">
        <v>14</v>
      </c>
    </row>
    <row r="108" spans="1:9" ht="12.75">
      <c r="A108" s="2">
        <v>105</v>
      </c>
      <c r="B108" s="7"/>
      <c r="C108" s="7"/>
      <c r="D108" s="7"/>
      <c r="E108" s="8"/>
      <c r="F108" s="8"/>
      <c r="G108" s="7" t="str">
        <f t="shared" ref="G108:G362" si="5">IF(F108="","",F108&amp;"@r6-1.deped.gov.ph")</f>
        <v/>
      </c>
      <c r="H108" s="8"/>
    </row>
    <row r="109" spans="1:9" ht="12.75">
      <c r="A109" s="2">
        <v>106</v>
      </c>
      <c r="B109" s="7"/>
      <c r="C109" s="7"/>
      <c r="D109" s="7"/>
      <c r="E109" s="8"/>
      <c r="F109" s="8"/>
      <c r="G109" s="7" t="str">
        <f t="shared" si="5"/>
        <v/>
      </c>
      <c r="H109" s="8"/>
    </row>
    <row r="110" spans="1:9" ht="12.75">
      <c r="A110" s="2">
        <v>107</v>
      </c>
      <c r="B110" s="7"/>
      <c r="C110" s="7"/>
      <c r="D110" s="7"/>
      <c r="E110" s="8"/>
      <c r="F110" s="8"/>
      <c r="G110" s="7" t="str">
        <f t="shared" si="5"/>
        <v/>
      </c>
      <c r="H110" s="8"/>
    </row>
    <row r="111" spans="1:9" ht="12.75">
      <c r="A111" s="2">
        <v>108</v>
      </c>
      <c r="B111" s="7"/>
      <c r="C111" s="7"/>
      <c r="D111" s="7"/>
      <c r="E111" s="8"/>
      <c r="F111" s="8"/>
      <c r="G111" s="7" t="str">
        <f t="shared" si="5"/>
        <v/>
      </c>
      <c r="H111" s="8"/>
    </row>
    <row r="112" spans="1:9" ht="12.75">
      <c r="A112" s="2">
        <v>109</v>
      </c>
      <c r="B112" s="7"/>
      <c r="C112" s="7"/>
      <c r="D112" s="7"/>
      <c r="E112" s="8"/>
      <c r="F112" s="8"/>
      <c r="G112" s="7" t="str">
        <f t="shared" si="5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5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5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5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5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5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5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5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5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5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5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5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5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5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5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5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5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5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5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5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5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5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5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5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5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5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5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5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5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5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5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5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5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5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5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5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5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5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5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5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5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5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5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5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5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5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5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5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5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5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5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5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5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5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5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5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5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5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5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5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5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5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5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5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5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5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5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5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5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5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5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5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5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5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5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5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5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5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5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5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5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5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5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5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5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5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5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5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5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5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5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5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5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5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5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5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5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5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5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5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5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5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5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5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5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5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5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5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5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5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5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5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5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5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5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5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5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5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5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5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5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5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5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5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5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5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5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5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5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5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5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5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5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5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5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5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5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5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5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5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5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5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5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5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5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5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5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5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5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5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5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5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5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5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5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5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5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5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5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5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5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5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5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5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5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5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5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5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5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5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5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5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5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5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5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5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5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5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5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5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5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5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5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5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5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5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5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5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5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5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5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5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5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5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5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5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5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5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5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5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5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5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5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5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5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5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5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5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5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5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5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5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5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5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5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5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5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5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5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5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5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5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5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5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5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5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5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5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5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5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5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5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5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5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5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5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5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5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5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5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5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5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5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5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5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5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5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5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5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5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5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ref="G363:G503" si="6">IF(F363="","",F363&amp;"@r6-1.deped.gov.ph")</f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6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6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6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6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6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6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6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6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6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6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6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6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6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6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6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6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6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6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6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6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6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6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6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6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6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6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6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6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6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6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6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6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6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6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6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6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6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6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6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6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6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6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6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6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6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6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6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6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6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6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6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6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6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6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6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6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6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6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6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6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6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6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6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6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6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6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6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6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6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6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6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6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6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6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6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6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6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6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6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6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6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6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6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6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6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6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6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6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6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6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6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6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6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6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6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6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6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6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6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6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6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6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6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6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6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6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6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6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6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6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6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6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6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6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6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6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6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6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6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6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6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6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6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6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6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6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6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6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6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6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6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6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6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6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6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6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6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6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6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6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2"/>
  <sheetViews>
    <sheetView topLeftCell="F1" workbookViewId="0">
      <pane ySplit="3" topLeftCell="A43" activePane="bottomLeft" state="frozen"/>
      <selection pane="bottomLeft" activeCell="G82" sqref="G82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228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8" t="s">
        <v>229</v>
      </c>
      <c r="C4" s="7" t="s">
        <v>230</v>
      </c>
      <c r="D4" s="7" t="s">
        <v>41</v>
      </c>
      <c r="E4" s="8" t="s">
        <v>231</v>
      </c>
      <c r="F4" s="8">
        <v>117536150001</v>
      </c>
      <c r="G4" s="7" t="str">
        <f t="shared" ref="G4:G67" si="0">IF(F4="","",F4&amp;"@r6-1.deped.gov.ph")</f>
        <v>117536150001@r6-1.deped.gov.ph</v>
      </c>
      <c r="H4" s="8" t="str">
        <f>IF(C4="","",LOWER(C4)&amp;",311405")</f>
        <v>abella,311405</v>
      </c>
      <c r="I4" t="s">
        <v>14</v>
      </c>
    </row>
    <row r="5" spans="1:11" ht="12.75">
      <c r="A5" s="2">
        <v>2</v>
      </c>
      <c r="B5" s="8" t="s">
        <v>229</v>
      </c>
      <c r="C5" s="7" t="s">
        <v>232</v>
      </c>
      <c r="D5" s="7" t="s">
        <v>233</v>
      </c>
      <c r="E5" s="8" t="s">
        <v>234</v>
      </c>
      <c r="F5" s="8">
        <v>117455150119</v>
      </c>
      <c r="G5" s="7" t="str">
        <f t="shared" si="0"/>
        <v>117455150119@r6-1.deped.gov.ph</v>
      </c>
      <c r="H5" s="8" t="str">
        <f t="shared" ref="H5:H36" si="1">IF(C5="","",LOWER(C5)&amp;",311405")</f>
        <v>abello,311405</v>
      </c>
      <c r="I5" t="s">
        <v>46</v>
      </c>
    </row>
    <row r="6" spans="1:11" ht="12.75">
      <c r="A6" s="2">
        <v>3</v>
      </c>
      <c r="B6" s="8" t="s">
        <v>229</v>
      </c>
      <c r="C6" s="7" t="s">
        <v>235</v>
      </c>
      <c r="D6" s="7" t="s">
        <v>236</v>
      </c>
      <c r="E6" s="8" t="s">
        <v>231</v>
      </c>
      <c r="F6" s="8">
        <v>117536150039</v>
      </c>
      <c r="G6" s="7" t="str">
        <f t="shared" si="0"/>
        <v>117536150039@r6-1.deped.gov.ph</v>
      </c>
      <c r="H6" s="8" t="str">
        <f t="shared" si="1"/>
        <v>apawan,311405</v>
      </c>
      <c r="I6" t="s">
        <v>14</v>
      </c>
    </row>
    <row r="7" spans="1:11" ht="12.75">
      <c r="A7" s="2">
        <v>4</v>
      </c>
      <c r="B7" s="8" t="s">
        <v>229</v>
      </c>
      <c r="C7" s="7" t="s">
        <v>237</v>
      </c>
      <c r="D7" s="7" t="s">
        <v>238</v>
      </c>
      <c r="E7" s="8" t="s">
        <v>239</v>
      </c>
      <c r="F7" s="8">
        <v>117536150071</v>
      </c>
      <c r="G7" s="7" t="str">
        <f t="shared" si="0"/>
        <v>117536150071@r6-1.deped.gov.ph</v>
      </c>
      <c r="H7" s="8" t="str">
        <f t="shared" si="1"/>
        <v>bagaforo,311405</v>
      </c>
      <c r="I7" t="s">
        <v>14</v>
      </c>
    </row>
    <row r="8" spans="1:11" ht="12.75">
      <c r="A8" s="2">
        <v>5</v>
      </c>
      <c r="B8" s="8" t="s">
        <v>229</v>
      </c>
      <c r="C8" s="7" t="s">
        <v>240</v>
      </c>
      <c r="D8" s="7" t="s">
        <v>241</v>
      </c>
      <c r="E8" s="8" t="s">
        <v>242</v>
      </c>
      <c r="F8" s="8">
        <v>117536150090</v>
      </c>
      <c r="G8" s="7" t="str">
        <f t="shared" si="0"/>
        <v>117536150090@r6-1.deped.gov.ph</v>
      </c>
      <c r="H8" s="8" t="str">
        <f t="shared" si="1"/>
        <v>bayon-on,311405</v>
      </c>
      <c r="I8" t="s">
        <v>14</v>
      </c>
    </row>
    <row r="9" spans="1:11" ht="12.75">
      <c r="A9" s="2">
        <v>6</v>
      </c>
      <c r="B9" s="8" t="s">
        <v>229</v>
      </c>
      <c r="C9" s="7" t="s">
        <v>243</v>
      </c>
      <c r="D9" s="7" t="s">
        <v>244</v>
      </c>
      <c r="E9" s="8" t="s">
        <v>245</v>
      </c>
      <c r="F9" s="8">
        <v>108082150003</v>
      </c>
      <c r="G9" s="7" t="str">
        <f t="shared" si="0"/>
        <v>108082150003@r6-1.deped.gov.ph</v>
      </c>
      <c r="H9" s="8" t="str">
        <f t="shared" si="1"/>
        <v>cabahug,311405</v>
      </c>
      <c r="I9" t="s">
        <v>46</v>
      </c>
    </row>
    <row r="10" spans="1:11" ht="12.75">
      <c r="A10" s="2">
        <v>7</v>
      </c>
      <c r="B10" s="8" t="s">
        <v>229</v>
      </c>
      <c r="C10" s="7" t="s">
        <v>246</v>
      </c>
      <c r="D10" s="7" t="s">
        <v>247</v>
      </c>
      <c r="E10" s="8" t="s">
        <v>231</v>
      </c>
      <c r="F10" s="8">
        <v>117561150062</v>
      </c>
      <c r="G10" s="7" t="str">
        <f t="shared" si="0"/>
        <v>117561150062@r6-1.deped.gov.ph</v>
      </c>
      <c r="H10" s="8" t="str">
        <f t="shared" si="1"/>
        <v>capinpin,311405</v>
      </c>
      <c r="I10" t="s">
        <v>14</v>
      </c>
    </row>
    <row r="11" spans="1:11" ht="12.75">
      <c r="A11" s="2">
        <v>8</v>
      </c>
      <c r="B11" s="8" t="s">
        <v>229</v>
      </c>
      <c r="C11" s="7" t="s">
        <v>248</v>
      </c>
      <c r="D11" s="7" t="s">
        <v>249</v>
      </c>
      <c r="E11" s="8" t="s">
        <v>245</v>
      </c>
      <c r="F11" s="8">
        <v>117536150045</v>
      </c>
      <c r="G11" s="7" t="str">
        <f t="shared" si="0"/>
        <v>117536150045@r6-1.deped.gov.ph</v>
      </c>
      <c r="H11" s="8" t="str">
        <f t="shared" si="1"/>
        <v>costillas,311405</v>
      </c>
      <c r="I11" t="s">
        <v>14</v>
      </c>
    </row>
    <row r="12" spans="1:11" ht="12.75">
      <c r="A12" s="2">
        <v>9</v>
      </c>
      <c r="B12" s="8" t="s">
        <v>229</v>
      </c>
      <c r="C12" s="7" t="s">
        <v>250</v>
      </c>
      <c r="D12" s="7" t="s">
        <v>251</v>
      </c>
      <c r="E12" s="8" t="s">
        <v>252</v>
      </c>
      <c r="F12" s="8">
        <v>117536150007</v>
      </c>
      <c r="G12" s="7" t="str">
        <f t="shared" si="0"/>
        <v>117536150007@r6-1.deped.gov.ph</v>
      </c>
      <c r="H12" s="8" t="str">
        <f t="shared" si="1"/>
        <v>cubay,311405</v>
      </c>
      <c r="I12" t="s">
        <v>14</v>
      </c>
    </row>
    <row r="13" spans="1:11" ht="12.75">
      <c r="A13" s="2">
        <v>10</v>
      </c>
      <c r="B13" s="8" t="s">
        <v>229</v>
      </c>
      <c r="C13" s="7" t="s">
        <v>253</v>
      </c>
      <c r="D13" s="7" t="s">
        <v>254</v>
      </c>
      <c r="E13" s="8" t="s">
        <v>255</v>
      </c>
      <c r="F13" s="8">
        <v>117536150098</v>
      </c>
      <c r="G13" s="7" t="str">
        <f t="shared" si="0"/>
        <v>117536150098@r6-1.deped.gov.ph</v>
      </c>
      <c r="H13" s="8" t="str">
        <f t="shared" si="1"/>
        <v>dawa,311405</v>
      </c>
      <c r="I13" t="s">
        <v>14</v>
      </c>
    </row>
    <row r="14" spans="1:11" ht="12.75">
      <c r="A14" s="2">
        <v>11</v>
      </c>
      <c r="B14" s="8" t="s">
        <v>229</v>
      </c>
      <c r="C14" s="7" t="s">
        <v>256</v>
      </c>
      <c r="D14" s="7" t="s">
        <v>42</v>
      </c>
      <c r="E14" s="8" t="s">
        <v>257</v>
      </c>
      <c r="F14" s="8">
        <v>117536130066</v>
      </c>
      <c r="G14" s="7" t="str">
        <f t="shared" si="0"/>
        <v>117536130066@r6-1.deped.gov.ph</v>
      </c>
      <c r="H14" s="8" t="str">
        <f t="shared" si="1"/>
        <v>delos santos,311405</v>
      </c>
      <c r="I14" t="s">
        <v>14</v>
      </c>
    </row>
    <row r="15" spans="1:11" ht="12.75">
      <c r="A15" s="2">
        <v>12</v>
      </c>
      <c r="B15" s="8" t="s">
        <v>229</v>
      </c>
      <c r="C15" s="7" t="s">
        <v>258</v>
      </c>
      <c r="D15" s="7" t="s">
        <v>259</v>
      </c>
      <c r="E15" s="8" t="s">
        <v>260</v>
      </c>
      <c r="F15" s="8">
        <v>117554130069</v>
      </c>
      <c r="G15" s="7" t="str">
        <f t="shared" si="0"/>
        <v>117554130069@r6-1.deped.gov.ph</v>
      </c>
      <c r="H15" s="8" t="str">
        <f t="shared" si="1"/>
        <v>dema-ala,311405</v>
      </c>
      <c r="I15" t="s">
        <v>46</v>
      </c>
    </row>
    <row r="16" spans="1:11" ht="12.75">
      <c r="A16" s="2">
        <v>13</v>
      </c>
      <c r="B16" s="8" t="s">
        <v>229</v>
      </c>
      <c r="C16" s="7" t="s">
        <v>261</v>
      </c>
      <c r="D16" s="7" t="s">
        <v>262</v>
      </c>
      <c r="E16" s="8" t="s">
        <v>263</v>
      </c>
      <c r="F16" s="8">
        <v>117556110011</v>
      </c>
      <c r="G16" s="7" t="str">
        <f t="shared" si="0"/>
        <v>117556110011@r6-1.deped.gov.ph</v>
      </c>
      <c r="H16" s="8" t="str">
        <f t="shared" si="1"/>
        <v>eva,311405</v>
      </c>
      <c r="I16" t="s">
        <v>14</v>
      </c>
    </row>
    <row r="17" spans="1:9" ht="12.75">
      <c r="A17" s="2">
        <v>14</v>
      </c>
      <c r="B17" s="8" t="s">
        <v>229</v>
      </c>
      <c r="C17" s="7" t="s">
        <v>264</v>
      </c>
      <c r="D17" s="7" t="s">
        <v>265</v>
      </c>
      <c r="E17" s="8" t="s">
        <v>257</v>
      </c>
      <c r="F17" s="8">
        <v>117536150082</v>
      </c>
      <c r="G17" s="7" t="str">
        <f t="shared" si="0"/>
        <v>117536150082@r6-1.deped.gov.ph</v>
      </c>
      <c r="H17" s="8" t="str">
        <f t="shared" si="1"/>
        <v>faelmarin,311405</v>
      </c>
      <c r="I17" t="s">
        <v>14</v>
      </c>
    </row>
    <row r="18" spans="1:9" ht="12.75">
      <c r="A18" s="2">
        <v>15</v>
      </c>
      <c r="B18" s="8" t="s">
        <v>229</v>
      </c>
      <c r="C18" s="7" t="s">
        <v>266</v>
      </c>
      <c r="D18" s="7" t="s">
        <v>267</v>
      </c>
      <c r="E18" s="8" t="s">
        <v>268</v>
      </c>
      <c r="F18" s="8">
        <v>117531150038</v>
      </c>
      <c r="G18" s="7" t="str">
        <f t="shared" si="0"/>
        <v>117531150038@r6-1.deped.gov.ph</v>
      </c>
      <c r="H18" s="8" t="str">
        <f t="shared" si="1"/>
        <v>gatilago,311405</v>
      </c>
      <c r="I18" t="s">
        <v>14</v>
      </c>
    </row>
    <row r="19" spans="1:9" ht="12.75">
      <c r="A19" s="2">
        <v>16</v>
      </c>
      <c r="B19" s="8" t="s">
        <v>229</v>
      </c>
      <c r="C19" s="7" t="s">
        <v>269</v>
      </c>
      <c r="D19" s="7" t="s">
        <v>270</v>
      </c>
      <c r="E19" s="8" t="s">
        <v>263</v>
      </c>
      <c r="F19" s="8">
        <v>117536150113</v>
      </c>
      <c r="G19" s="7" t="str">
        <f t="shared" si="0"/>
        <v>117536150113@r6-1.deped.gov.ph</v>
      </c>
      <c r="H19" s="8" t="str">
        <f t="shared" si="1"/>
        <v>janea,311405</v>
      </c>
      <c r="I19" t="s">
        <v>14</v>
      </c>
    </row>
    <row r="20" spans="1:9" ht="12.75">
      <c r="A20" s="2">
        <v>17</v>
      </c>
      <c r="B20" s="8" t="s">
        <v>229</v>
      </c>
      <c r="C20" s="7" t="s">
        <v>271</v>
      </c>
      <c r="D20" s="7" t="s">
        <v>272</v>
      </c>
      <c r="E20" s="8"/>
      <c r="F20" s="8">
        <v>117541150076</v>
      </c>
      <c r="G20" s="7" t="str">
        <f t="shared" si="0"/>
        <v>117541150076@r6-1.deped.gov.ph</v>
      </c>
      <c r="H20" s="8" t="str">
        <f t="shared" si="1"/>
        <v>lachica,311405</v>
      </c>
      <c r="I20" t="s">
        <v>14</v>
      </c>
    </row>
    <row r="21" spans="1:9" ht="12.75">
      <c r="A21" s="2">
        <v>18</v>
      </c>
      <c r="B21" s="8" t="s">
        <v>229</v>
      </c>
      <c r="C21" s="7" t="s">
        <v>273</v>
      </c>
      <c r="D21" s="7" t="s">
        <v>274</v>
      </c>
      <c r="E21" s="8" t="s">
        <v>263</v>
      </c>
      <c r="F21" s="8">
        <v>117782150017</v>
      </c>
      <c r="G21" s="7" t="str">
        <f t="shared" si="0"/>
        <v>117782150017@r6-1.deped.gov.ph</v>
      </c>
      <c r="H21" s="8" t="str">
        <f t="shared" si="1"/>
        <v>manayon,311405</v>
      </c>
      <c r="I21" t="s">
        <v>14</v>
      </c>
    </row>
    <row r="22" spans="1:9" ht="12.75">
      <c r="A22" s="2">
        <v>19</v>
      </c>
      <c r="B22" s="8" t="s">
        <v>229</v>
      </c>
      <c r="C22" s="7" t="s">
        <v>275</v>
      </c>
      <c r="D22" s="7" t="s">
        <v>276</v>
      </c>
      <c r="E22" s="8"/>
      <c r="F22" s="8">
        <v>117536150063</v>
      </c>
      <c r="G22" s="7" t="str">
        <f t="shared" si="0"/>
        <v>117536150063@r6-1.deped.gov.ph</v>
      </c>
      <c r="H22" s="8" t="str">
        <f t="shared" si="1"/>
        <v>merabe,311405</v>
      </c>
      <c r="I22" t="s">
        <v>14</v>
      </c>
    </row>
    <row r="23" spans="1:9" ht="12.75">
      <c r="A23" s="2">
        <v>20</v>
      </c>
      <c r="B23" s="8" t="s">
        <v>229</v>
      </c>
      <c r="C23" s="7" t="s">
        <v>277</v>
      </c>
      <c r="D23" s="7" t="s">
        <v>278</v>
      </c>
      <c r="E23" s="8" t="s">
        <v>255</v>
      </c>
      <c r="F23" s="8">
        <v>117536150015</v>
      </c>
      <c r="G23" s="7" t="str">
        <f t="shared" si="0"/>
        <v>117536150015@r6-1.deped.gov.ph</v>
      </c>
      <c r="H23" s="8" t="str">
        <f t="shared" si="1"/>
        <v>montuerto,311405</v>
      </c>
      <c r="I23" t="s">
        <v>14</v>
      </c>
    </row>
    <row r="24" spans="1:9" ht="12.75">
      <c r="A24" s="2">
        <v>21</v>
      </c>
      <c r="B24" s="8" t="s">
        <v>229</v>
      </c>
      <c r="C24" s="7" t="s">
        <v>279</v>
      </c>
      <c r="D24" s="7" t="s">
        <v>280</v>
      </c>
      <c r="E24" s="8" t="s">
        <v>281</v>
      </c>
      <c r="F24" s="8">
        <v>117536150114</v>
      </c>
      <c r="G24" s="7" t="str">
        <f t="shared" si="0"/>
        <v>117536150114@r6-1.deped.gov.ph</v>
      </c>
      <c r="H24" s="8" t="str">
        <f t="shared" si="1"/>
        <v>parochel,311405</v>
      </c>
      <c r="I24" t="s">
        <v>14</v>
      </c>
    </row>
    <row r="25" spans="1:9" ht="12.75">
      <c r="A25" s="2">
        <v>22</v>
      </c>
      <c r="B25" s="8" t="s">
        <v>229</v>
      </c>
      <c r="C25" s="7" t="s">
        <v>282</v>
      </c>
      <c r="D25" s="7" t="s">
        <v>283</v>
      </c>
      <c r="E25" s="8" t="s">
        <v>281</v>
      </c>
      <c r="F25" s="8">
        <v>117536150035</v>
      </c>
      <c r="G25" s="7" t="str">
        <f t="shared" si="0"/>
        <v>117536150035@r6-1.deped.gov.ph</v>
      </c>
      <c r="H25" s="8" t="str">
        <f t="shared" si="1"/>
        <v>pineda,311405</v>
      </c>
      <c r="I25" t="s">
        <v>14</v>
      </c>
    </row>
    <row r="26" spans="1:9" ht="12.75">
      <c r="A26" s="2">
        <v>23</v>
      </c>
      <c r="B26" s="8" t="s">
        <v>229</v>
      </c>
      <c r="C26" s="7" t="s">
        <v>284</v>
      </c>
      <c r="D26" s="7" t="s">
        <v>285</v>
      </c>
      <c r="E26" s="8" t="s">
        <v>252</v>
      </c>
      <c r="F26" s="8">
        <v>117536150136</v>
      </c>
      <c r="G26" s="7" t="str">
        <f t="shared" si="0"/>
        <v>117536150136@r6-1.deped.gov.ph</v>
      </c>
      <c r="H26" s="8" t="str">
        <f t="shared" si="1"/>
        <v>pogoy,311405</v>
      </c>
      <c r="I26" t="s">
        <v>14</v>
      </c>
    </row>
    <row r="27" spans="1:9" ht="12.75">
      <c r="A27" s="2">
        <v>24</v>
      </c>
      <c r="B27" s="8" t="s">
        <v>229</v>
      </c>
      <c r="C27" s="7" t="s">
        <v>286</v>
      </c>
      <c r="D27" s="7" t="s">
        <v>287</v>
      </c>
      <c r="E27" s="8" t="s">
        <v>252</v>
      </c>
      <c r="F27" s="8">
        <v>442005150058</v>
      </c>
      <c r="G27" s="7" t="str">
        <f t="shared" si="0"/>
        <v>442005150058@r6-1.deped.gov.ph</v>
      </c>
      <c r="H27" s="8" t="str">
        <f t="shared" si="1"/>
        <v>quinonez,311405</v>
      </c>
      <c r="I27" t="s">
        <v>14</v>
      </c>
    </row>
    <row r="28" spans="1:9" ht="12.75">
      <c r="A28" s="2">
        <v>25</v>
      </c>
      <c r="B28" s="8" t="s">
        <v>229</v>
      </c>
      <c r="C28" s="7" t="s">
        <v>288</v>
      </c>
      <c r="D28" s="7" t="s">
        <v>289</v>
      </c>
      <c r="E28" s="8" t="s">
        <v>263</v>
      </c>
      <c r="F28" s="8">
        <v>117540150075</v>
      </c>
      <c r="G28" s="7" t="str">
        <f t="shared" si="0"/>
        <v>117540150075@r6-1.deped.gov.ph</v>
      </c>
      <c r="H28" s="8" t="str">
        <f t="shared" si="1"/>
        <v>ramos,311405</v>
      </c>
      <c r="I28" t="s">
        <v>14</v>
      </c>
    </row>
    <row r="29" spans="1:9" ht="12.75">
      <c r="A29" s="2">
        <v>26</v>
      </c>
      <c r="B29" s="8" t="s">
        <v>229</v>
      </c>
      <c r="C29" s="7" t="s">
        <v>290</v>
      </c>
      <c r="D29" s="7" t="s">
        <v>291</v>
      </c>
      <c r="E29" s="8" t="s">
        <v>263</v>
      </c>
      <c r="F29" s="8">
        <v>117536150053</v>
      </c>
      <c r="G29" s="7" t="str">
        <f t="shared" si="0"/>
        <v>117536150053@r6-1.deped.gov.ph</v>
      </c>
      <c r="H29" s="8" t="str">
        <f t="shared" si="1"/>
        <v>ria,311405</v>
      </c>
      <c r="I29" t="s">
        <v>14</v>
      </c>
    </row>
    <row r="30" spans="1:9" ht="12.75">
      <c r="A30" s="2">
        <v>27</v>
      </c>
      <c r="B30" s="8" t="s">
        <v>229</v>
      </c>
      <c r="C30" s="7" t="s">
        <v>292</v>
      </c>
      <c r="D30" s="7" t="s">
        <v>293</v>
      </c>
      <c r="E30" s="8" t="s">
        <v>294</v>
      </c>
      <c r="F30" s="8">
        <v>117536150127</v>
      </c>
      <c r="G30" s="7" t="str">
        <f t="shared" si="0"/>
        <v>117536150127@r6-1.deped.gov.ph</v>
      </c>
      <c r="H30" s="8" t="str">
        <f t="shared" si="1"/>
        <v>robiso,311405</v>
      </c>
      <c r="I30" t="s">
        <v>14</v>
      </c>
    </row>
    <row r="31" spans="1:9" ht="12.75">
      <c r="A31" s="2">
        <v>28</v>
      </c>
      <c r="B31" s="8" t="s">
        <v>229</v>
      </c>
      <c r="C31" s="7" t="s">
        <v>295</v>
      </c>
      <c r="D31" s="7" t="s">
        <v>296</v>
      </c>
      <c r="E31" s="8" t="s">
        <v>245</v>
      </c>
      <c r="F31" s="8">
        <v>117541150092</v>
      </c>
      <c r="G31" s="7" t="str">
        <f t="shared" si="0"/>
        <v>117541150092@r6-1.deped.gov.ph</v>
      </c>
      <c r="H31" s="8" t="str">
        <f t="shared" si="1"/>
        <v>ronamo,311405</v>
      </c>
      <c r="I31" t="s">
        <v>14</v>
      </c>
    </row>
    <row r="32" spans="1:9" ht="12.75">
      <c r="A32" s="2">
        <v>29</v>
      </c>
      <c r="B32" s="8" t="s">
        <v>229</v>
      </c>
      <c r="C32" s="7" t="s">
        <v>295</v>
      </c>
      <c r="D32" s="7" t="s">
        <v>297</v>
      </c>
      <c r="E32" s="8" t="s">
        <v>268</v>
      </c>
      <c r="F32" s="8">
        <v>117704150045</v>
      </c>
      <c r="G32" s="7" t="str">
        <f t="shared" si="0"/>
        <v>117704150045@r6-1.deped.gov.ph</v>
      </c>
      <c r="H32" s="8" t="str">
        <f t="shared" si="1"/>
        <v>ronamo,311405</v>
      </c>
      <c r="I32" t="s">
        <v>14</v>
      </c>
    </row>
    <row r="33" spans="1:9" ht="12.75">
      <c r="A33" s="2">
        <v>30</v>
      </c>
      <c r="B33" s="8" t="s">
        <v>229</v>
      </c>
      <c r="C33" s="7" t="s">
        <v>298</v>
      </c>
      <c r="D33" s="7" t="s">
        <v>299</v>
      </c>
      <c r="E33" s="8" t="s">
        <v>300</v>
      </c>
      <c r="F33" s="8">
        <v>117536150078</v>
      </c>
      <c r="G33" s="7" t="str">
        <f t="shared" si="0"/>
        <v>117536150078@r6-1.deped.gov.ph</v>
      </c>
      <c r="H33" s="8" t="str">
        <f t="shared" si="1"/>
        <v>sedayon,311405</v>
      </c>
      <c r="I33" t="s">
        <v>14</v>
      </c>
    </row>
    <row r="34" spans="1:9" ht="12.75">
      <c r="A34" s="2">
        <v>31</v>
      </c>
      <c r="B34" s="8" t="s">
        <v>229</v>
      </c>
      <c r="C34" s="7" t="s">
        <v>301</v>
      </c>
      <c r="D34" s="7" t="s">
        <v>302</v>
      </c>
      <c r="E34" s="8" t="s">
        <v>281</v>
      </c>
      <c r="F34" s="8">
        <v>117536150055</v>
      </c>
      <c r="G34" s="7" t="str">
        <f t="shared" si="0"/>
        <v>117536150055@r6-1.deped.gov.ph</v>
      </c>
      <c r="H34" s="8" t="str">
        <f t="shared" si="1"/>
        <v>tibar,311405</v>
      </c>
      <c r="I34" t="s">
        <v>14</v>
      </c>
    </row>
    <row r="35" spans="1:9" ht="12.75">
      <c r="A35" s="2">
        <v>32</v>
      </c>
      <c r="B35" s="8" t="s">
        <v>229</v>
      </c>
      <c r="C35" s="7" t="s">
        <v>91</v>
      </c>
      <c r="D35" s="7" t="s">
        <v>303</v>
      </c>
      <c r="E35" s="8"/>
      <c r="F35" s="8">
        <v>117536150066</v>
      </c>
      <c r="G35" s="7" t="str">
        <f t="shared" si="0"/>
        <v>117536150066@r6-1.deped.gov.ph</v>
      </c>
      <c r="H35" s="8" t="str">
        <f t="shared" si="1"/>
        <v>valencia,311405</v>
      </c>
      <c r="I35" t="s">
        <v>14</v>
      </c>
    </row>
    <row r="36" spans="1:9" ht="12.75">
      <c r="A36" s="2">
        <v>33</v>
      </c>
      <c r="B36" s="8" t="s">
        <v>304</v>
      </c>
      <c r="C36" s="7" t="s">
        <v>305</v>
      </c>
      <c r="D36" s="7" t="s">
        <v>306</v>
      </c>
      <c r="E36" s="8" t="s">
        <v>231</v>
      </c>
      <c r="F36" s="8">
        <v>117536150088</v>
      </c>
      <c r="G36" s="7" t="str">
        <f t="shared" si="0"/>
        <v>117536150088@r6-1.deped.gov.ph</v>
      </c>
      <c r="H36" s="8" t="str">
        <f t="shared" si="1"/>
        <v>asumbra,311405</v>
      </c>
      <c r="I36" t="s">
        <v>14</v>
      </c>
    </row>
    <row r="37" spans="1:9" ht="12.75">
      <c r="A37" s="2">
        <v>34</v>
      </c>
      <c r="B37" s="8" t="s">
        <v>304</v>
      </c>
      <c r="C37" s="7" t="s">
        <v>307</v>
      </c>
      <c r="D37" s="7" t="s">
        <v>308</v>
      </c>
      <c r="E37" s="8" t="s">
        <v>309</v>
      </c>
      <c r="F37" s="8">
        <v>117536140152</v>
      </c>
      <c r="G37" s="7" t="str">
        <f t="shared" si="0"/>
        <v>117536140152@r6-1.deped.gov.ph</v>
      </c>
      <c r="H37" s="8" t="str">
        <f t="shared" ref="H37:H68" si="2">IF(C37="","",LOWER(C37)&amp;",311405")</f>
        <v>azucena,311405</v>
      </c>
      <c r="I37" t="s">
        <v>14</v>
      </c>
    </row>
    <row r="38" spans="1:9" ht="12.75">
      <c r="A38" s="2">
        <v>35</v>
      </c>
      <c r="B38" s="8" t="s">
        <v>304</v>
      </c>
      <c r="C38" s="7" t="s">
        <v>237</v>
      </c>
      <c r="D38" s="7" t="s">
        <v>310</v>
      </c>
      <c r="E38" s="8" t="s">
        <v>311</v>
      </c>
      <c r="F38" s="8">
        <v>117536150030</v>
      </c>
      <c r="G38" s="7" t="str">
        <f t="shared" si="0"/>
        <v>117536150030@r6-1.deped.gov.ph</v>
      </c>
      <c r="H38" s="8" t="str">
        <f t="shared" si="2"/>
        <v>bagaforo,311405</v>
      </c>
      <c r="I38" t="s">
        <v>14</v>
      </c>
    </row>
    <row r="39" spans="1:9" ht="12.75">
      <c r="A39" s="2">
        <v>36</v>
      </c>
      <c r="B39" s="8" t="s">
        <v>304</v>
      </c>
      <c r="C39" s="7" t="s">
        <v>312</v>
      </c>
      <c r="D39" s="7" t="s">
        <v>313</v>
      </c>
      <c r="E39" s="8" t="s">
        <v>252</v>
      </c>
      <c r="F39" s="8">
        <v>117536150047</v>
      </c>
      <c r="G39" s="7" t="str">
        <f t="shared" si="0"/>
        <v>117536150047@r6-1.deped.gov.ph</v>
      </c>
      <c r="H39" s="8" t="str">
        <f t="shared" si="2"/>
        <v>batayola,311405</v>
      </c>
      <c r="I39" t="s">
        <v>14</v>
      </c>
    </row>
    <row r="40" spans="1:9" ht="12.75">
      <c r="A40" s="2">
        <v>37</v>
      </c>
      <c r="B40" s="8" t="s">
        <v>304</v>
      </c>
      <c r="C40" s="7" t="s">
        <v>314</v>
      </c>
      <c r="D40" s="7" t="s">
        <v>315</v>
      </c>
      <c r="E40" s="8" t="s">
        <v>239</v>
      </c>
      <c r="F40" s="8">
        <v>117536150062</v>
      </c>
      <c r="G40" s="7" t="str">
        <f t="shared" si="0"/>
        <v>117536150062@r6-1.deped.gov.ph</v>
      </c>
      <c r="H40" s="8" t="str">
        <f t="shared" si="2"/>
        <v>dela cruz,311405</v>
      </c>
      <c r="I40" t="s">
        <v>14</v>
      </c>
    </row>
    <row r="41" spans="1:9" ht="14.25">
      <c r="A41" s="2">
        <v>38</v>
      </c>
      <c r="B41" s="8" t="s">
        <v>304</v>
      </c>
      <c r="C41" s="51" t="s">
        <v>316</v>
      </c>
      <c r="D41" s="7" t="s">
        <v>317</v>
      </c>
      <c r="E41" s="8" t="s">
        <v>255</v>
      </c>
      <c r="F41" s="8">
        <v>117536150034</v>
      </c>
      <c r="G41" s="7" t="str">
        <f t="shared" si="0"/>
        <v>117536150034@r6-1.deped.gov.ph</v>
      </c>
      <c r="H41" s="8" t="str">
        <f t="shared" si="2"/>
        <v>dela peña,311405</v>
      </c>
      <c r="I41" t="s">
        <v>46</v>
      </c>
    </row>
    <row r="42" spans="1:9" ht="12.75">
      <c r="A42" s="2">
        <v>39</v>
      </c>
      <c r="B42" s="8" t="s">
        <v>304</v>
      </c>
      <c r="C42" s="7" t="s">
        <v>318</v>
      </c>
      <c r="D42" s="7" t="s">
        <v>319</v>
      </c>
      <c r="E42" s="8" t="s">
        <v>320</v>
      </c>
      <c r="F42" s="8">
        <v>117536150061</v>
      </c>
      <c r="G42" s="7" t="str">
        <f t="shared" si="0"/>
        <v>117536150061@r6-1.deped.gov.ph</v>
      </c>
      <c r="H42" s="8" t="str">
        <f t="shared" si="2"/>
        <v>dela rosa,311405</v>
      </c>
      <c r="I42" t="s">
        <v>14</v>
      </c>
    </row>
    <row r="43" spans="1:9" ht="12.75">
      <c r="A43" s="2">
        <v>40</v>
      </c>
      <c r="B43" s="8" t="s">
        <v>304</v>
      </c>
      <c r="C43" s="7" t="s">
        <v>321</v>
      </c>
      <c r="D43" s="7" t="s">
        <v>322</v>
      </c>
      <c r="E43" s="8" t="s">
        <v>252</v>
      </c>
      <c r="F43" s="8">
        <v>117536150008</v>
      </c>
      <c r="G43" s="7" t="str">
        <f t="shared" si="0"/>
        <v>117536150008@r6-1.deped.gov.ph</v>
      </c>
      <c r="H43" s="8" t="str">
        <f t="shared" si="2"/>
        <v>dela torre,311405</v>
      </c>
      <c r="I43" t="s">
        <v>14</v>
      </c>
    </row>
    <row r="44" spans="1:9" ht="12.75">
      <c r="A44" s="2">
        <v>41</v>
      </c>
      <c r="B44" s="8" t="s">
        <v>304</v>
      </c>
      <c r="C44" s="7" t="s">
        <v>256</v>
      </c>
      <c r="D44" s="7" t="s">
        <v>323</v>
      </c>
      <c r="E44" s="8" t="s">
        <v>294</v>
      </c>
      <c r="F44" s="8">
        <v>117531140069</v>
      </c>
      <c r="G44" s="7" t="str">
        <f t="shared" si="0"/>
        <v>117531140069@r6-1.deped.gov.ph</v>
      </c>
      <c r="H44" s="8" t="str">
        <f t="shared" si="2"/>
        <v>delos santos,311405</v>
      </c>
      <c r="I44" t="s">
        <v>14</v>
      </c>
    </row>
    <row r="45" spans="1:9" ht="12.75">
      <c r="A45" s="2">
        <v>42</v>
      </c>
      <c r="B45" s="8" t="s">
        <v>304</v>
      </c>
      <c r="C45" s="7" t="s">
        <v>324</v>
      </c>
      <c r="D45" s="7" t="s">
        <v>325</v>
      </c>
      <c r="E45" s="8" t="s">
        <v>252</v>
      </c>
      <c r="F45" s="8">
        <v>117536150089</v>
      </c>
      <c r="G45" s="7" t="str">
        <f t="shared" si="0"/>
        <v>117536150089@r6-1.deped.gov.ph</v>
      </c>
      <c r="H45" s="8" t="str">
        <f t="shared" si="2"/>
        <v>desamparado,311405</v>
      </c>
      <c r="I45" t="s">
        <v>14</v>
      </c>
    </row>
    <row r="46" spans="1:9" ht="12.75">
      <c r="A46" s="2">
        <v>43</v>
      </c>
      <c r="B46" s="8" t="s">
        <v>304</v>
      </c>
      <c r="C46" s="7" t="s">
        <v>326</v>
      </c>
      <c r="D46" s="7" t="s">
        <v>327</v>
      </c>
      <c r="E46" s="8" t="s">
        <v>255</v>
      </c>
      <c r="F46" s="8">
        <v>117536150020</v>
      </c>
      <c r="G46" s="7" t="str">
        <f t="shared" si="0"/>
        <v>117536150020@r6-1.deped.gov.ph</v>
      </c>
      <c r="H46" s="8" t="str">
        <f t="shared" si="2"/>
        <v>diligencia,311405</v>
      </c>
      <c r="I46" t="s">
        <v>14</v>
      </c>
    </row>
    <row r="47" spans="1:9" ht="12.75">
      <c r="A47" s="2">
        <v>44</v>
      </c>
      <c r="B47" s="8" t="s">
        <v>304</v>
      </c>
      <c r="C47" s="7" t="s">
        <v>328</v>
      </c>
      <c r="D47" s="7" t="s">
        <v>329</v>
      </c>
      <c r="E47" s="8" t="s">
        <v>231</v>
      </c>
      <c r="F47" s="8">
        <v>117546150027</v>
      </c>
      <c r="G47" s="7" t="str">
        <f t="shared" si="0"/>
        <v>117546150027@r6-1.deped.gov.ph</v>
      </c>
      <c r="H47" s="8" t="str">
        <f t="shared" si="2"/>
        <v>dioso,311405</v>
      </c>
      <c r="I47" t="s">
        <v>14</v>
      </c>
    </row>
    <row r="48" spans="1:9" ht="12.75">
      <c r="A48" s="2">
        <v>45</v>
      </c>
      <c r="B48" s="8" t="s">
        <v>304</v>
      </c>
      <c r="C48" s="7" t="s">
        <v>330</v>
      </c>
      <c r="D48" s="7" t="s">
        <v>331</v>
      </c>
      <c r="E48" s="8" t="s">
        <v>242</v>
      </c>
      <c r="F48" s="8">
        <v>117531150158</v>
      </c>
      <c r="G48" s="7" t="str">
        <f t="shared" si="0"/>
        <v>117531150158@r6-1.deped.gov.ph</v>
      </c>
      <c r="H48" s="8" t="str">
        <f t="shared" si="2"/>
        <v>flores,311405</v>
      </c>
      <c r="I48" t="s">
        <v>14</v>
      </c>
    </row>
    <row r="49" spans="1:9" ht="12.75">
      <c r="A49" s="2">
        <v>46</v>
      </c>
      <c r="B49" s="8" t="s">
        <v>304</v>
      </c>
      <c r="C49" s="7" t="s">
        <v>332</v>
      </c>
      <c r="D49" s="7" t="s">
        <v>333</v>
      </c>
      <c r="E49" s="8" t="s">
        <v>309</v>
      </c>
      <c r="F49" s="8">
        <v>117536150033</v>
      </c>
      <c r="G49" s="7" t="str">
        <f t="shared" si="0"/>
        <v>117536150033@r6-1.deped.gov.ph</v>
      </c>
      <c r="H49" s="8" t="str">
        <f t="shared" si="2"/>
        <v>jimenez,311405</v>
      </c>
      <c r="I49" t="s">
        <v>14</v>
      </c>
    </row>
    <row r="50" spans="1:9" ht="12.75">
      <c r="A50" s="2">
        <v>47</v>
      </c>
      <c r="B50" s="8" t="s">
        <v>304</v>
      </c>
      <c r="C50" s="7" t="s">
        <v>334</v>
      </c>
      <c r="D50" s="7" t="s">
        <v>335</v>
      </c>
      <c r="E50" s="8" t="s">
        <v>239</v>
      </c>
      <c r="F50" s="8">
        <v>117550130019</v>
      </c>
      <c r="G50" s="7" t="str">
        <f t="shared" si="0"/>
        <v>117550130019@r6-1.deped.gov.ph</v>
      </c>
      <c r="H50" s="8" t="str">
        <f t="shared" si="2"/>
        <v>macariola,311405</v>
      </c>
      <c r="I50" t="s">
        <v>14</v>
      </c>
    </row>
    <row r="51" spans="1:9" ht="12.75">
      <c r="A51" s="2">
        <v>48</v>
      </c>
      <c r="B51" s="8" t="s">
        <v>304</v>
      </c>
      <c r="C51" s="7" t="s">
        <v>336</v>
      </c>
      <c r="D51" s="7" t="s">
        <v>337</v>
      </c>
      <c r="E51" s="8" t="s">
        <v>294</v>
      </c>
      <c r="F51" s="8">
        <v>117506150134</v>
      </c>
      <c r="G51" s="7" t="str">
        <f t="shared" si="0"/>
        <v>117506150134@r6-1.deped.gov.ph</v>
      </c>
      <c r="H51" s="8" t="str">
        <f t="shared" si="2"/>
        <v>malinao ,311405</v>
      </c>
      <c r="I51" t="s">
        <v>46</v>
      </c>
    </row>
    <row r="52" spans="1:9" ht="12.75">
      <c r="A52" s="2">
        <v>49</v>
      </c>
      <c r="B52" s="8" t="s">
        <v>304</v>
      </c>
      <c r="C52" s="7" t="s">
        <v>338</v>
      </c>
      <c r="D52" s="7" t="s">
        <v>339</v>
      </c>
      <c r="E52" s="8" t="s">
        <v>255</v>
      </c>
      <c r="F52" s="8">
        <v>117536150025</v>
      </c>
      <c r="G52" s="7" t="str">
        <f t="shared" si="0"/>
        <v>117536150025@r6-1.deped.gov.ph</v>
      </c>
      <c r="H52" s="8" t="str">
        <f t="shared" si="2"/>
        <v>malunes,311405</v>
      </c>
      <c r="I52" t="s">
        <v>14</v>
      </c>
    </row>
    <row r="53" spans="1:9" ht="12.75">
      <c r="A53" s="2">
        <v>50</v>
      </c>
      <c r="B53" s="8" t="s">
        <v>304</v>
      </c>
      <c r="C53" s="7" t="s">
        <v>340</v>
      </c>
      <c r="D53" s="7" t="s">
        <v>341</v>
      </c>
      <c r="E53" s="8" t="s">
        <v>252</v>
      </c>
      <c r="F53" s="8">
        <v>117541140016</v>
      </c>
      <c r="G53" s="7" t="str">
        <f t="shared" si="0"/>
        <v>117541140016@r6-1.deped.gov.ph</v>
      </c>
      <c r="H53" s="8" t="str">
        <f t="shared" si="2"/>
        <v>mendoza,311405</v>
      </c>
      <c r="I53" t="s">
        <v>46</v>
      </c>
    </row>
    <row r="54" spans="1:9" ht="12.75">
      <c r="A54" s="2">
        <v>51</v>
      </c>
      <c r="B54" s="8" t="s">
        <v>304</v>
      </c>
      <c r="C54" s="7" t="s">
        <v>342</v>
      </c>
      <c r="D54" s="7" t="s">
        <v>303</v>
      </c>
      <c r="E54" s="8" t="s">
        <v>263</v>
      </c>
      <c r="F54" s="8">
        <v>117536150046</v>
      </c>
      <c r="G54" s="7" t="str">
        <f t="shared" si="0"/>
        <v>117536150046@r6-1.deped.gov.ph</v>
      </c>
      <c r="H54" s="8" t="str">
        <f t="shared" si="2"/>
        <v>migallos,311405</v>
      </c>
      <c r="I54" t="s">
        <v>14</v>
      </c>
    </row>
    <row r="55" spans="1:9" ht="12.75">
      <c r="A55" s="2">
        <v>52</v>
      </c>
      <c r="B55" s="8" t="s">
        <v>304</v>
      </c>
      <c r="C55" s="7" t="s">
        <v>343</v>
      </c>
      <c r="D55" s="7" t="s">
        <v>344</v>
      </c>
      <c r="E55" s="8" t="s">
        <v>263</v>
      </c>
      <c r="F55" s="8">
        <v>117536140053</v>
      </c>
      <c r="G55" s="7" t="str">
        <f t="shared" si="0"/>
        <v>117536140053@r6-1.deped.gov.ph</v>
      </c>
      <c r="H55" s="8" t="str">
        <f t="shared" si="2"/>
        <v>negro,311405</v>
      </c>
      <c r="I55" t="s">
        <v>46</v>
      </c>
    </row>
    <row r="56" spans="1:9" ht="12.75">
      <c r="A56" s="2">
        <v>53</v>
      </c>
      <c r="B56" s="8" t="s">
        <v>304</v>
      </c>
      <c r="C56" s="7" t="s">
        <v>345</v>
      </c>
      <c r="D56" s="7" t="s">
        <v>346</v>
      </c>
      <c r="E56" s="8" t="s">
        <v>245</v>
      </c>
      <c r="F56" s="8">
        <v>117536150094</v>
      </c>
      <c r="G56" s="7" t="str">
        <f t="shared" si="0"/>
        <v>117536150094@r6-1.deped.gov.ph</v>
      </c>
      <c r="H56" s="8" t="str">
        <f t="shared" si="2"/>
        <v>palma,311405</v>
      </c>
      <c r="I56" t="s">
        <v>14</v>
      </c>
    </row>
    <row r="57" spans="1:9" ht="12.75">
      <c r="A57" s="2">
        <v>54</v>
      </c>
      <c r="B57" s="8" t="s">
        <v>304</v>
      </c>
      <c r="C57" s="7" t="s">
        <v>279</v>
      </c>
      <c r="D57" s="7" t="s">
        <v>347</v>
      </c>
      <c r="E57" s="8" t="s">
        <v>239</v>
      </c>
      <c r="F57" s="8">
        <v>117536150058</v>
      </c>
      <c r="G57" s="7" t="str">
        <f t="shared" si="0"/>
        <v>117536150058@r6-1.deped.gov.ph</v>
      </c>
      <c r="H57" s="8" t="str">
        <f t="shared" si="2"/>
        <v>parochel,311405</v>
      </c>
      <c r="I57" t="s">
        <v>14</v>
      </c>
    </row>
    <row r="58" spans="1:9" ht="12.75">
      <c r="A58" s="2">
        <v>55</v>
      </c>
      <c r="B58" s="8" t="s">
        <v>304</v>
      </c>
      <c r="C58" s="7" t="s">
        <v>348</v>
      </c>
      <c r="D58" s="7" t="s">
        <v>249</v>
      </c>
      <c r="E58" s="8" t="s">
        <v>281</v>
      </c>
      <c r="F58" s="8">
        <v>117536150087</v>
      </c>
      <c r="G58" s="7" t="str">
        <f t="shared" si="0"/>
        <v>117536150087@r6-1.deped.gov.ph</v>
      </c>
      <c r="H58" s="8" t="str">
        <f t="shared" si="2"/>
        <v>salazar,311405</v>
      </c>
      <c r="I58" t="s">
        <v>14</v>
      </c>
    </row>
    <row r="59" spans="1:9" ht="12.75">
      <c r="A59" s="2">
        <v>56</v>
      </c>
      <c r="B59" s="8" t="s">
        <v>304</v>
      </c>
      <c r="C59" s="7" t="s">
        <v>349</v>
      </c>
      <c r="D59" s="7" t="s">
        <v>350</v>
      </c>
      <c r="E59" s="8" t="s">
        <v>255</v>
      </c>
      <c r="F59" s="8">
        <v>117541130008</v>
      </c>
      <c r="G59" s="7" t="str">
        <f t="shared" si="0"/>
        <v>117541130008@r6-1.deped.gov.ph</v>
      </c>
      <c r="H59" s="8" t="str">
        <f t="shared" si="2"/>
        <v>santillan,311405</v>
      </c>
      <c r="I59" t="s">
        <v>46</v>
      </c>
    </row>
    <row r="60" spans="1:9" ht="12.75">
      <c r="A60" s="2">
        <v>57</v>
      </c>
      <c r="B60" s="8" t="s">
        <v>304</v>
      </c>
      <c r="C60" s="7" t="s">
        <v>351</v>
      </c>
      <c r="D60" s="7" t="s">
        <v>352</v>
      </c>
      <c r="E60" s="8" t="s">
        <v>281</v>
      </c>
      <c r="F60" s="8">
        <v>117536150129</v>
      </c>
      <c r="G60" s="7" t="str">
        <f t="shared" si="0"/>
        <v>117536150129@r6-1.deped.gov.ph</v>
      </c>
      <c r="H60" s="8" t="str">
        <f t="shared" si="2"/>
        <v>sayson,311405</v>
      </c>
      <c r="I60" t="s">
        <v>14</v>
      </c>
    </row>
    <row r="61" spans="1:9" ht="12.75">
      <c r="A61" s="2">
        <v>58</v>
      </c>
      <c r="B61" s="8" t="s">
        <v>304</v>
      </c>
      <c r="C61" s="7" t="s">
        <v>351</v>
      </c>
      <c r="D61" s="7" t="s">
        <v>353</v>
      </c>
      <c r="E61" s="8" t="s">
        <v>257</v>
      </c>
      <c r="F61" s="8">
        <v>119059150057</v>
      </c>
      <c r="G61" s="7" t="str">
        <f t="shared" si="0"/>
        <v>119059150057@r6-1.deped.gov.ph</v>
      </c>
      <c r="H61" s="8" t="str">
        <f t="shared" si="2"/>
        <v>sayson,311405</v>
      </c>
      <c r="I61" t="s">
        <v>14</v>
      </c>
    </row>
    <row r="62" spans="1:9" ht="12.75">
      <c r="A62" s="2">
        <v>59</v>
      </c>
      <c r="B62" s="8" t="s">
        <v>304</v>
      </c>
      <c r="C62" s="7" t="s">
        <v>354</v>
      </c>
      <c r="D62" s="7" t="s">
        <v>347</v>
      </c>
      <c r="E62" s="8" t="s">
        <v>245</v>
      </c>
      <c r="F62" s="8">
        <v>117536140097</v>
      </c>
      <c r="G62" s="7" t="str">
        <f t="shared" si="0"/>
        <v>117536140097@r6-1.deped.gov.ph</v>
      </c>
      <c r="H62" s="8" t="str">
        <f t="shared" si="2"/>
        <v>tecson,311405</v>
      </c>
      <c r="I62" t="s">
        <v>14</v>
      </c>
    </row>
    <row r="63" spans="1:9" ht="12.75">
      <c r="A63" s="2">
        <v>60</v>
      </c>
      <c r="B63" s="8" t="s">
        <v>304</v>
      </c>
      <c r="C63" s="7" t="s">
        <v>355</v>
      </c>
      <c r="D63" s="7" t="s">
        <v>356</v>
      </c>
      <c r="E63" s="8" t="s">
        <v>268</v>
      </c>
      <c r="F63" s="8">
        <v>117541150046</v>
      </c>
      <c r="G63" s="7" t="str">
        <f t="shared" si="0"/>
        <v>117541150046@r6-1.deped.gov.ph</v>
      </c>
      <c r="H63" s="8" t="str">
        <f t="shared" si="2"/>
        <v>tiapon,311405</v>
      </c>
      <c r="I63" t="s">
        <v>14</v>
      </c>
    </row>
    <row r="64" spans="1:9" ht="12.75">
      <c r="A64" s="2">
        <v>61</v>
      </c>
      <c r="B64" s="8" t="s">
        <v>304</v>
      </c>
      <c r="C64" s="7" t="s">
        <v>357</v>
      </c>
      <c r="D64" s="7" t="s">
        <v>358</v>
      </c>
      <c r="E64" s="8" t="s">
        <v>239</v>
      </c>
      <c r="F64" s="8">
        <v>117536140027</v>
      </c>
      <c r="G64" s="7" t="str">
        <f t="shared" si="0"/>
        <v>117536140027@r6-1.deped.gov.ph</v>
      </c>
      <c r="H64" s="8" t="str">
        <f t="shared" si="2"/>
        <v>tomabiene,311405</v>
      </c>
      <c r="I64" t="s">
        <v>14</v>
      </c>
    </row>
    <row r="65" spans="1:9" ht="12.75">
      <c r="A65" s="2">
        <v>62</v>
      </c>
      <c r="B65" s="8" t="s">
        <v>304</v>
      </c>
      <c r="C65" s="7" t="s">
        <v>359</v>
      </c>
      <c r="D65" s="7" t="s">
        <v>360</v>
      </c>
      <c r="E65" s="8" t="s">
        <v>361</v>
      </c>
      <c r="F65" s="8">
        <v>117536150104</v>
      </c>
      <c r="G65" s="7" t="str">
        <f t="shared" si="0"/>
        <v>117536150104@r6-1.deped.gov.ph</v>
      </c>
      <c r="H65" s="8" t="str">
        <f t="shared" si="2"/>
        <v>zarraga,311405</v>
      </c>
      <c r="I65" t="s">
        <v>14</v>
      </c>
    </row>
    <row r="66" spans="1:9" ht="12.75">
      <c r="A66" s="2">
        <v>63</v>
      </c>
      <c r="B66" s="8" t="s">
        <v>362</v>
      </c>
      <c r="C66" s="7" t="s">
        <v>363</v>
      </c>
      <c r="D66" s="7" t="s">
        <v>364</v>
      </c>
      <c r="E66" s="8" t="s">
        <v>239</v>
      </c>
      <c r="F66" s="8">
        <v>442005150078</v>
      </c>
      <c r="G66" s="7" t="str">
        <f t="shared" si="0"/>
        <v>442005150078@r6-1.deped.gov.ph</v>
      </c>
      <c r="H66" s="8" t="str">
        <f t="shared" si="2"/>
        <v>abas,311405</v>
      </c>
      <c r="I66" t="s">
        <v>14</v>
      </c>
    </row>
    <row r="67" spans="1:9" ht="12.75">
      <c r="A67" s="2">
        <v>64</v>
      </c>
      <c r="B67" s="8" t="s">
        <v>362</v>
      </c>
      <c r="C67" s="7" t="s">
        <v>365</v>
      </c>
      <c r="D67" s="7" t="s">
        <v>366</v>
      </c>
      <c r="E67" s="8" t="s">
        <v>239</v>
      </c>
      <c r="F67" s="8">
        <v>117536130062</v>
      </c>
      <c r="G67" s="7" t="str">
        <f t="shared" si="0"/>
        <v>117536130062@r6-1.deped.gov.ph</v>
      </c>
      <c r="H67" s="8" t="str">
        <f t="shared" si="2"/>
        <v>arabaca,311405</v>
      </c>
      <c r="I67" t="s">
        <v>14</v>
      </c>
    </row>
    <row r="68" spans="1:9" ht="12.75">
      <c r="A68" s="2">
        <v>65</v>
      </c>
      <c r="B68" s="8" t="s">
        <v>362</v>
      </c>
      <c r="C68" s="7" t="s">
        <v>367</v>
      </c>
      <c r="D68" s="7" t="s">
        <v>368</v>
      </c>
      <c r="E68" s="8" t="s">
        <v>263</v>
      </c>
      <c r="F68" s="8">
        <v>117536150003</v>
      </c>
      <c r="G68" s="7" t="str">
        <f t="shared" ref="G68:G101" si="3">IF(F68="","",F68&amp;"@r6-1.deped.gov.ph")</f>
        <v>117536150003@r6-1.deped.gov.ph</v>
      </c>
      <c r="H68" s="8" t="str">
        <f t="shared" si="2"/>
        <v>arquisola,311405</v>
      </c>
      <c r="I68" t="s">
        <v>14</v>
      </c>
    </row>
    <row r="69" spans="1:9" ht="12.75">
      <c r="A69" s="2">
        <v>66</v>
      </c>
      <c r="B69" s="8" t="s">
        <v>362</v>
      </c>
      <c r="C69" s="7" t="s">
        <v>369</v>
      </c>
      <c r="D69" s="7" t="s">
        <v>370</v>
      </c>
      <c r="E69" s="8" t="s">
        <v>263</v>
      </c>
      <c r="F69" s="8">
        <v>117536150004</v>
      </c>
      <c r="G69" s="7" t="str">
        <f t="shared" si="3"/>
        <v>117536150004@r6-1.deped.gov.ph</v>
      </c>
      <c r="H69" s="8" t="str">
        <f t="shared" ref="H69:H101" si="4">IF(C69="","",LOWER(C69)&amp;",311405")</f>
        <v>artilado,311405</v>
      </c>
      <c r="I69" t="s">
        <v>14</v>
      </c>
    </row>
    <row r="70" spans="1:9" ht="12.75">
      <c r="A70" s="2">
        <v>67</v>
      </c>
      <c r="B70" s="8" t="s">
        <v>362</v>
      </c>
      <c r="C70" s="7" t="s">
        <v>371</v>
      </c>
      <c r="D70" s="7" t="s">
        <v>372</v>
      </c>
      <c r="E70" s="8" t="s">
        <v>268</v>
      </c>
      <c r="F70" s="8">
        <v>117536150005</v>
      </c>
      <c r="G70" s="7" t="str">
        <f t="shared" si="3"/>
        <v>117536150005@r6-1.deped.gov.ph</v>
      </c>
      <c r="H70" s="8" t="str">
        <f t="shared" si="4"/>
        <v>bajado,311405</v>
      </c>
      <c r="I70" t="s">
        <v>14</v>
      </c>
    </row>
    <row r="71" spans="1:9" ht="12.75">
      <c r="A71" s="2">
        <v>68</v>
      </c>
      <c r="B71" s="8" t="s">
        <v>362</v>
      </c>
      <c r="C71" s="7" t="s">
        <v>373</v>
      </c>
      <c r="D71" s="7" t="s">
        <v>374</v>
      </c>
      <c r="E71" s="8" t="s">
        <v>257</v>
      </c>
      <c r="F71" s="8">
        <v>117536150031</v>
      </c>
      <c r="G71" s="7" t="str">
        <f t="shared" si="3"/>
        <v>117536150031@r6-1.deped.gov.ph</v>
      </c>
      <c r="H71" s="8" t="str">
        <f t="shared" si="4"/>
        <v>barbecho,311405</v>
      </c>
      <c r="I71" t="s">
        <v>14</v>
      </c>
    </row>
    <row r="72" spans="1:9" ht="12.75">
      <c r="A72" s="2">
        <v>69</v>
      </c>
      <c r="B72" s="8" t="s">
        <v>362</v>
      </c>
      <c r="C72" s="7" t="s">
        <v>375</v>
      </c>
      <c r="D72" s="7" t="s">
        <v>364</v>
      </c>
      <c r="E72" s="8" t="s">
        <v>239</v>
      </c>
      <c r="F72" s="8">
        <v>117541150040</v>
      </c>
      <c r="G72" s="7" t="str">
        <f t="shared" si="3"/>
        <v>117541150040@r6-1.deped.gov.ph</v>
      </c>
      <c r="H72" s="8" t="str">
        <f t="shared" si="4"/>
        <v>cordero,311405</v>
      </c>
      <c r="I72" t="s">
        <v>14</v>
      </c>
    </row>
    <row r="73" spans="1:9" ht="12.75">
      <c r="A73" s="2">
        <v>70</v>
      </c>
      <c r="B73" s="8" t="s">
        <v>362</v>
      </c>
      <c r="C73" s="7" t="s">
        <v>376</v>
      </c>
      <c r="D73" s="7" t="s">
        <v>377</v>
      </c>
      <c r="E73" s="8" t="s">
        <v>252</v>
      </c>
      <c r="F73" s="8">
        <v>117561160112</v>
      </c>
      <c r="G73" s="7" t="str">
        <f t="shared" si="3"/>
        <v>117561160112@r6-1.deped.gov.ph</v>
      </c>
      <c r="H73" s="8" t="str">
        <f t="shared" si="4"/>
        <v>cortocena,311405</v>
      </c>
      <c r="I73" t="s">
        <v>46</v>
      </c>
    </row>
    <row r="74" spans="1:9" ht="12.75">
      <c r="A74" s="2">
        <v>71</v>
      </c>
      <c r="B74" s="8" t="s">
        <v>362</v>
      </c>
      <c r="C74" s="7" t="s">
        <v>378</v>
      </c>
      <c r="D74" s="7" t="s">
        <v>379</v>
      </c>
      <c r="E74" s="8" t="s">
        <v>245</v>
      </c>
      <c r="F74" s="8">
        <v>117536150060</v>
      </c>
      <c r="G74" s="7" t="str">
        <f t="shared" si="3"/>
        <v>117536150060@r6-1.deped.gov.ph</v>
      </c>
      <c r="H74" s="8" t="str">
        <f t="shared" si="4"/>
        <v>diola,311405</v>
      </c>
      <c r="I74" t="s">
        <v>14</v>
      </c>
    </row>
    <row r="75" spans="1:9" ht="12.75">
      <c r="A75" s="2">
        <v>72</v>
      </c>
      <c r="B75" s="8" t="s">
        <v>362</v>
      </c>
      <c r="C75" s="7" t="s">
        <v>380</v>
      </c>
      <c r="D75" s="7" t="s">
        <v>381</v>
      </c>
      <c r="E75" s="8" t="s">
        <v>309</v>
      </c>
      <c r="F75" s="8">
        <v>117536150064</v>
      </c>
      <c r="G75" s="7" t="str">
        <f t="shared" si="3"/>
        <v>117536150064@r6-1.deped.gov.ph</v>
      </c>
      <c r="H75" s="8" t="str">
        <f t="shared" si="4"/>
        <v>fabiosa,311405</v>
      </c>
      <c r="I75" t="s">
        <v>14</v>
      </c>
    </row>
    <row r="76" spans="1:9" ht="12.75">
      <c r="A76" s="2">
        <v>73</v>
      </c>
      <c r="B76" s="8" t="s">
        <v>362</v>
      </c>
      <c r="C76" s="7" t="s">
        <v>330</v>
      </c>
      <c r="D76" s="7" t="s">
        <v>382</v>
      </c>
      <c r="E76" s="8" t="s">
        <v>242</v>
      </c>
      <c r="F76" s="8">
        <v>117531150047</v>
      </c>
      <c r="G76" s="7" t="str">
        <f t="shared" si="3"/>
        <v>117531150047@r6-1.deped.gov.ph</v>
      </c>
      <c r="H76" s="8" t="str">
        <f t="shared" si="4"/>
        <v>flores,311405</v>
      </c>
      <c r="I76" t="s">
        <v>14</v>
      </c>
    </row>
    <row r="77" spans="1:9" ht="12.75">
      <c r="A77" s="2">
        <v>74</v>
      </c>
      <c r="B77" s="8" t="s">
        <v>362</v>
      </c>
      <c r="C77" s="7" t="s">
        <v>383</v>
      </c>
      <c r="D77" s="7" t="s">
        <v>384</v>
      </c>
      <c r="E77" s="8" t="s">
        <v>252</v>
      </c>
      <c r="F77" s="8">
        <v>117544150032</v>
      </c>
      <c r="G77" s="7" t="str">
        <f t="shared" si="3"/>
        <v>117544150032@r6-1.deped.gov.ph</v>
      </c>
      <c r="H77" s="8" t="str">
        <f t="shared" si="4"/>
        <v>gonzales,311405</v>
      </c>
      <c r="I77" t="s">
        <v>14</v>
      </c>
    </row>
    <row r="78" spans="1:9" ht="12.75">
      <c r="A78" s="2">
        <v>75</v>
      </c>
      <c r="B78" s="8" t="s">
        <v>362</v>
      </c>
      <c r="C78" s="7" t="s">
        <v>385</v>
      </c>
      <c r="D78" s="7" t="s">
        <v>386</v>
      </c>
      <c r="E78" s="8" t="s">
        <v>231</v>
      </c>
      <c r="F78" s="8">
        <v>136735150281</v>
      </c>
      <c r="G78" s="7" t="str">
        <f t="shared" si="3"/>
        <v>136735150281@r6-1.deped.gov.ph</v>
      </c>
      <c r="H78" s="8" t="str">
        <f t="shared" si="4"/>
        <v>gorrez,311405</v>
      </c>
      <c r="I78" t="s">
        <v>14</v>
      </c>
    </row>
    <row r="79" spans="1:9" ht="12.75">
      <c r="A79" s="2">
        <v>76</v>
      </c>
      <c r="B79" s="8" t="s">
        <v>362</v>
      </c>
      <c r="C79" s="7" t="s">
        <v>387</v>
      </c>
      <c r="D79" s="7" t="s">
        <v>388</v>
      </c>
      <c r="E79" s="8" t="s">
        <v>231</v>
      </c>
      <c r="F79" s="8">
        <v>117536150086</v>
      </c>
      <c r="G79" s="7" t="str">
        <f t="shared" si="3"/>
        <v>117536150086@r6-1.deped.gov.ph</v>
      </c>
      <c r="H79" s="8" t="str">
        <f t="shared" si="4"/>
        <v>gracena,311405</v>
      </c>
      <c r="I79" t="s">
        <v>14</v>
      </c>
    </row>
    <row r="80" spans="1:9" ht="12.75">
      <c r="A80" s="2">
        <v>77</v>
      </c>
      <c r="B80" s="8" t="s">
        <v>362</v>
      </c>
      <c r="C80" s="7" t="s">
        <v>389</v>
      </c>
      <c r="D80" s="7" t="s">
        <v>390</v>
      </c>
      <c r="E80" s="8" t="s">
        <v>320</v>
      </c>
      <c r="F80" s="8">
        <v>117536150048</v>
      </c>
      <c r="G80" s="7" t="str">
        <f t="shared" si="3"/>
        <v>117536150048@r6-1.deped.gov.ph</v>
      </c>
      <c r="H80" s="8" t="str">
        <f t="shared" si="4"/>
        <v>mahinay,311405</v>
      </c>
      <c r="I80" t="s">
        <v>14</v>
      </c>
    </row>
    <row r="81" spans="1:9" ht="12.75">
      <c r="A81" s="2">
        <v>78</v>
      </c>
      <c r="B81" s="8" t="s">
        <v>362</v>
      </c>
      <c r="C81" s="7" t="s">
        <v>391</v>
      </c>
      <c r="D81" s="7" t="s">
        <v>392</v>
      </c>
      <c r="E81" s="8" t="s">
        <v>231</v>
      </c>
      <c r="F81" s="8">
        <v>136519140550</v>
      </c>
      <c r="G81" s="7" t="str">
        <f t="shared" si="3"/>
        <v>136519140550@r6-1.deped.gov.ph</v>
      </c>
      <c r="H81" s="8" t="str">
        <f t="shared" si="4"/>
        <v>pedransa,311405</v>
      </c>
      <c r="I81" t="s">
        <v>46</v>
      </c>
    </row>
    <row r="82" spans="1:9" ht="12.75">
      <c r="A82" s="2">
        <v>79</v>
      </c>
      <c r="B82" s="8" t="s">
        <v>362</v>
      </c>
      <c r="C82" s="7" t="s">
        <v>393</v>
      </c>
      <c r="D82" s="7" t="s">
        <v>394</v>
      </c>
      <c r="E82" s="8"/>
      <c r="F82" s="8">
        <v>117536150126</v>
      </c>
      <c r="G82" s="7" t="str">
        <f t="shared" si="3"/>
        <v>117536150126@r6-1.deped.gov.ph</v>
      </c>
      <c r="H82" s="8" t="str">
        <f t="shared" si="4"/>
        <v>selubrico,311405</v>
      </c>
      <c r="I82" t="s">
        <v>14</v>
      </c>
    </row>
    <row r="83" spans="1:9" ht="12.75">
      <c r="A83" s="2">
        <v>80</v>
      </c>
      <c r="B83" s="8" t="s">
        <v>362</v>
      </c>
      <c r="C83" s="7" t="s">
        <v>395</v>
      </c>
      <c r="D83" s="7" t="s">
        <v>396</v>
      </c>
      <c r="E83" s="8" t="s">
        <v>245</v>
      </c>
      <c r="F83" s="8">
        <v>117536140026</v>
      </c>
      <c r="G83" s="7" t="str">
        <f t="shared" si="3"/>
        <v>117536140026@r6-1.deped.gov.ph</v>
      </c>
      <c r="H83" s="8" t="str">
        <f t="shared" si="4"/>
        <v>sernal,311405</v>
      </c>
      <c r="I83" t="s">
        <v>14</v>
      </c>
    </row>
    <row r="84" spans="1:9" ht="12.75">
      <c r="A84" s="2">
        <v>81</v>
      </c>
      <c r="B84" s="8" t="s">
        <v>362</v>
      </c>
      <c r="C84" s="7" t="s">
        <v>397</v>
      </c>
      <c r="D84" s="7" t="s">
        <v>398</v>
      </c>
      <c r="E84" s="8" t="s">
        <v>361</v>
      </c>
      <c r="F84" s="8">
        <v>117536150054</v>
      </c>
      <c r="G84" s="7" t="str">
        <f t="shared" si="3"/>
        <v>117536150054@r6-1.deped.gov.ph</v>
      </c>
      <c r="H84" s="8" t="str">
        <f t="shared" si="4"/>
        <v>teodoso,311405</v>
      </c>
      <c r="I84" t="s">
        <v>14</v>
      </c>
    </row>
    <row r="85" spans="1:9" ht="12.75">
      <c r="A85" s="2">
        <v>82</v>
      </c>
      <c r="B85" s="8" t="s">
        <v>362</v>
      </c>
      <c r="C85" s="7" t="s">
        <v>399</v>
      </c>
      <c r="D85" s="7" t="s">
        <v>400</v>
      </c>
      <c r="E85" s="8" t="s">
        <v>309</v>
      </c>
      <c r="F85" s="8">
        <v>117536150067</v>
      </c>
      <c r="G85" s="7" t="str">
        <f t="shared" si="3"/>
        <v>117536150067@r6-1.deped.gov.ph</v>
      </c>
      <c r="H85" s="8" t="str">
        <f t="shared" si="4"/>
        <v>villa,311405</v>
      </c>
      <c r="I85" t="s">
        <v>14</v>
      </c>
    </row>
    <row r="86" spans="1:9" ht="12.75">
      <c r="A86" s="2">
        <v>83</v>
      </c>
      <c r="B86" s="8" t="s">
        <v>362</v>
      </c>
      <c r="C86" s="7" t="s">
        <v>401</v>
      </c>
      <c r="D86" s="7" t="s">
        <v>402</v>
      </c>
      <c r="E86" s="8" t="s">
        <v>231</v>
      </c>
      <c r="F86" s="8">
        <v>117536150073</v>
      </c>
      <c r="G86" s="7" t="str">
        <f t="shared" si="3"/>
        <v>117536150073@r6-1.deped.gov.ph</v>
      </c>
      <c r="H86" s="8" t="str">
        <f t="shared" si="4"/>
        <v>villano,311405</v>
      </c>
      <c r="I86" t="s">
        <v>14</v>
      </c>
    </row>
    <row r="87" spans="1:9" ht="12.75">
      <c r="A87" s="2">
        <v>84</v>
      </c>
      <c r="B87" s="8" t="s">
        <v>362</v>
      </c>
      <c r="C87" s="7" t="s">
        <v>403</v>
      </c>
      <c r="D87" s="7" t="s">
        <v>404</v>
      </c>
      <c r="E87" s="8" t="s">
        <v>234</v>
      </c>
      <c r="F87" s="8">
        <v>117536150119</v>
      </c>
      <c r="G87" s="7" t="str">
        <f t="shared" si="3"/>
        <v>117536150119@r6-1.deped.gov.ph</v>
      </c>
      <c r="H87" s="8" t="str">
        <f t="shared" si="4"/>
        <v>villanueva,311405</v>
      </c>
      <c r="I87" t="s">
        <v>14</v>
      </c>
    </row>
    <row r="88" spans="1:9" ht="12.75">
      <c r="A88" s="2">
        <v>85</v>
      </c>
      <c r="B88" s="8" t="s">
        <v>362</v>
      </c>
      <c r="C88" s="7" t="s">
        <v>235</v>
      </c>
      <c r="D88" s="7" t="s">
        <v>405</v>
      </c>
      <c r="E88" s="8" t="s">
        <v>255</v>
      </c>
      <c r="F88" s="8">
        <v>117536150040</v>
      </c>
      <c r="G88" s="7" t="str">
        <f t="shared" si="3"/>
        <v>117536150040@r6-1.deped.gov.ph</v>
      </c>
      <c r="H88" s="8" t="str">
        <f t="shared" si="4"/>
        <v>apawan,311405</v>
      </c>
      <c r="I88" t="s">
        <v>14</v>
      </c>
    </row>
    <row r="89" spans="1:9" ht="12.75">
      <c r="A89" s="2">
        <v>86</v>
      </c>
      <c r="B89" s="8" t="s">
        <v>362</v>
      </c>
      <c r="C89" s="7" t="s">
        <v>406</v>
      </c>
      <c r="D89" s="7" t="s">
        <v>407</v>
      </c>
      <c r="E89" s="8" t="s">
        <v>263</v>
      </c>
      <c r="F89" s="8">
        <v>117536150070</v>
      </c>
      <c r="G89" s="7" t="str">
        <f t="shared" si="3"/>
        <v>117536150070@r6-1.deped.gov.ph</v>
      </c>
      <c r="H89" s="8" t="str">
        <f t="shared" si="4"/>
        <v>ariaden,311405</v>
      </c>
      <c r="I89" t="s">
        <v>14</v>
      </c>
    </row>
    <row r="90" spans="1:9" ht="12.75">
      <c r="A90" s="2">
        <v>87</v>
      </c>
      <c r="B90" s="8" t="s">
        <v>362</v>
      </c>
      <c r="C90" s="7" t="s">
        <v>408</v>
      </c>
      <c r="D90" s="7" t="s">
        <v>409</v>
      </c>
      <c r="E90" s="8" t="s">
        <v>361</v>
      </c>
      <c r="F90" s="8">
        <v>117572150236</v>
      </c>
      <c r="G90" s="7" t="str">
        <f t="shared" si="3"/>
        <v>117572150236@r6-1.deped.gov.ph</v>
      </c>
      <c r="H90" s="8" t="str">
        <f t="shared" si="4"/>
        <v>balasa,311405</v>
      </c>
      <c r="I90" t="s">
        <v>46</v>
      </c>
    </row>
    <row r="91" spans="1:9" ht="12.75">
      <c r="A91" s="2">
        <v>88</v>
      </c>
      <c r="B91" s="8" t="s">
        <v>362</v>
      </c>
      <c r="C91" s="7" t="s">
        <v>410</v>
      </c>
      <c r="D91" s="7" t="s">
        <v>411</v>
      </c>
      <c r="E91" s="8" t="s">
        <v>361</v>
      </c>
      <c r="F91" s="8">
        <v>117536150107</v>
      </c>
      <c r="G91" s="7" t="str">
        <f t="shared" si="3"/>
        <v>117536150107@r6-1.deped.gov.ph</v>
      </c>
      <c r="H91" s="8" t="str">
        <f t="shared" si="4"/>
        <v>belo,311405</v>
      </c>
      <c r="I91" t="s">
        <v>14</v>
      </c>
    </row>
    <row r="92" spans="1:9" ht="12.75">
      <c r="A92" s="2">
        <v>89</v>
      </c>
      <c r="B92" s="8" t="s">
        <v>362</v>
      </c>
      <c r="C92" s="7" t="s">
        <v>256</v>
      </c>
      <c r="D92" s="7" t="s">
        <v>412</v>
      </c>
      <c r="E92" s="8" t="s">
        <v>257</v>
      </c>
      <c r="F92" s="8">
        <v>117536150074</v>
      </c>
      <c r="G92" s="7" t="str">
        <f t="shared" si="3"/>
        <v>117536150074@r6-1.deped.gov.ph</v>
      </c>
      <c r="H92" s="8" t="str">
        <f t="shared" si="4"/>
        <v>delos santos,311405</v>
      </c>
      <c r="I92" t="s">
        <v>14</v>
      </c>
    </row>
    <row r="93" spans="1:9" ht="12.75">
      <c r="A93" s="2">
        <v>90</v>
      </c>
      <c r="B93" s="8" t="s">
        <v>362</v>
      </c>
      <c r="C93" s="7" t="s">
        <v>256</v>
      </c>
      <c r="D93" s="7" t="s">
        <v>413</v>
      </c>
      <c r="E93" s="8" t="s">
        <v>294</v>
      </c>
      <c r="F93" s="8">
        <v>117531150004</v>
      </c>
      <c r="G93" s="7" t="str">
        <f t="shared" si="3"/>
        <v>117531150004@r6-1.deped.gov.ph</v>
      </c>
      <c r="H93" s="8" t="str">
        <f t="shared" si="4"/>
        <v>delos santos,311405</v>
      </c>
      <c r="I93" t="s">
        <v>14</v>
      </c>
    </row>
    <row r="94" spans="1:9" ht="12.75">
      <c r="A94" s="2">
        <v>91</v>
      </c>
      <c r="B94" s="8" t="s">
        <v>362</v>
      </c>
      <c r="C94" s="7" t="s">
        <v>414</v>
      </c>
      <c r="D94" s="7" t="s">
        <v>415</v>
      </c>
      <c r="E94" s="8" t="s">
        <v>361</v>
      </c>
      <c r="F94" s="8">
        <v>117536150056</v>
      </c>
      <c r="G94" s="7" t="str">
        <f t="shared" si="3"/>
        <v>117536150056@r6-1.deped.gov.ph</v>
      </c>
      <c r="H94" s="8" t="str">
        <f t="shared" si="4"/>
        <v>dinson,311405</v>
      </c>
      <c r="I94" t="s">
        <v>14</v>
      </c>
    </row>
    <row r="95" spans="1:9" ht="12.75">
      <c r="A95" s="2">
        <v>92</v>
      </c>
      <c r="B95" s="8" t="s">
        <v>362</v>
      </c>
      <c r="C95" s="7" t="s">
        <v>416</v>
      </c>
      <c r="D95" s="7" t="s">
        <v>417</v>
      </c>
      <c r="E95" s="8" t="s">
        <v>281</v>
      </c>
      <c r="F95" s="8"/>
      <c r="G95" s="7" t="str">
        <f t="shared" si="3"/>
        <v/>
      </c>
      <c r="H95" s="8"/>
      <c r="I95" t="s">
        <v>418</v>
      </c>
    </row>
    <row r="96" spans="1:9" ht="12.75">
      <c r="A96" s="2">
        <v>93</v>
      </c>
      <c r="B96" s="8" t="s">
        <v>362</v>
      </c>
      <c r="C96" s="7" t="s">
        <v>419</v>
      </c>
      <c r="D96" s="7" t="s">
        <v>420</v>
      </c>
      <c r="E96" s="8" t="s">
        <v>294</v>
      </c>
      <c r="F96" s="8">
        <v>113558150013</v>
      </c>
      <c r="G96" s="7" t="str">
        <f t="shared" si="3"/>
        <v>113558150013@r6-1.deped.gov.ph</v>
      </c>
      <c r="H96" s="8" t="str">
        <f t="shared" si="4"/>
        <v>pianar,311405</v>
      </c>
      <c r="I96" t="s">
        <v>14</v>
      </c>
    </row>
    <row r="97" spans="1:9" ht="12.75">
      <c r="A97" s="2">
        <v>94</v>
      </c>
      <c r="B97" s="8" t="s">
        <v>362</v>
      </c>
      <c r="C97" s="7" t="s">
        <v>421</v>
      </c>
      <c r="D97" s="7" t="s">
        <v>412</v>
      </c>
      <c r="E97" s="8" t="s">
        <v>268</v>
      </c>
      <c r="F97" s="8">
        <v>117546160109</v>
      </c>
      <c r="G97" s="7" t="str">
        <f t="shared" si="3"/>
        <v>117546160109@r6-1.deped.gov.ph</v>
      </c>
      <c r="H97" s="8" t="str">
        <f t="shared" si="4"/>
        <v>rebada,311405</v>
      </c>
      <c r="I97" t="s">
        <v>14</v>
      </c>
    </row>
    <row r="98" spans="1:9" ht="12.75">
      <c r="A98" s="2">
        <v>95</v>
      </c>
      <c r="B98" s="8" t="s">
        <v>362</v>
      </c>
      <c r="C98" s="7" t="s">
        <v>422</v>
      </c>
      <c r="D98" s="7" t="s">
        <v>423</v>
      </c>
      <c r="E98" s="8" t="s">
        <v>257</v>
      </c>
      <c r="F98" s="8">
        <v>117536150077</v>
      </c>
      <c r="G98" s="7" t="str">
        <f t="shared" si="3"/>
        <v>117536150077@r6-1.deped.gov.ph</v>
      </c>
      <c r="H98" s="8" t="str">
        <f t="shared" si="4"/>
        <v>rosas,311405</v>
      </c>
      <c r="I98" t="s">
        <v>14</v>
      </c>
    </row>
    <row r="99" spans="1:9" ht="12.75">
      <c r="A99" s="2">
        <v>96</v>
      </c>
      <c r="B99" s="8" t="s">
        <v>362</v>
      </c>
      <c r="C99" s="7" t="s">
        <v>424</v>
      </c>
      <c r="D99" s="7" t="s">
        <v>425</v>
      </c>
      <c r="E99" s="8" t="s">
        <v>263</v>
      </c>
      <c r="F99" s="8">
        <v>117536150059</v>
      </c>
      <c r="G99" s="7" t="str">
        <f t="shared" si="3"/>
        <v>117536150059@r6-1.deped.gov.ph</v>
      </c>
      <c r="H99" s="8" t="str">
        <f t="shared" si="4"/>
        <v>sanap,311405</v>
      </c>
      <c r="I99" t="s">
        <v>14</v>
      </c>
    </row>
    <row r="100" spans="1:9" ht="12.75">
      <c r="A100" s="2">
        <v>97</v>
      </c>
      <c r="B100" s="8" t="s">
        <v>362</v>
      </c>
      <c r="C100" s="7" t="s">
        <v>426</v>
      </c>
      <c r="D100" s="7" t="s">
        <v>427</v>
      </c>
      <c r="E100" s="8" t="s">
        <v>260</v>
      </c>
      <c r="F100" s="8">
        <v>117536150079</v>
      </c>
      <c r="G100" s="7" t="str">
        <f t="shared" si="3"/>
        <v>117536150079@r6-1.deped.gov.ph</v>
      </c>
      <c r="H100" s="8" t="str">
        <f t="shared" si="4"/>
        <v>sincero,311405</v>
      </c>
      <c r="I100" t="s">
        <v>14</v>
      </c>
    </row>
    <row r="101" spans="1:9" ht="12.75">
      <c r="A101" s="2">
        <v>98</v>
      </c>
      <c r="B101" s="8" t="s">
        <v>362</v>
      </c>
      <c r="C101" s="7" t="s">
        <v>428</v>
      </c>
      <c r="D101" s="7" t="s">
        <v>429</v>
      </c>
      <c r="E101" s="8" t="s">
        <v>263</v>
      </c>
      <c r="F101" s="8">
        <v>117536150026</v>
      </c>
      <c r="G101" s="7" t="str">
        <f t="shared" si="3"/>
        <v>117536150026@r6-1.deped.gov.ph</v>
      </c>
      <c r="H101" s="8" t="str">
        <f t="shared" si="4"/>
        <v>tumabiene,311405</v>
      </c>
      <c r="I101" t="s">
        <v>14</v>
      </c>
    </row>
    <row r="102" spans="1:9" ht="12.75">
      <c r="A102" s="2">
        <v>99</v>
      </c>
      <c r="B102" s="7"/>
      <c r="C102" s="7"/>
      <c r="D102" s="7"/>
      <c r="E102" s="8"/>
      <c r="F102" s="8"/>
      <c r="G102" s="7" t="str">
        <f t="shared" ref="G102:G356" si="5">IF(F102="","",F102&amp;"@r6-1.deped.gov.ph")</f>
        <v/>
      </c>
      <c r="H102" s="8"/>
    </row>
    <row r="103" spans="1:9" ht="12.75">
      <c r="A103" s="2">
        <v>100</v>
      </c>
      <c r="B103" s="7"/>
      <c r="C103" s="7"/>
      <c r="D103" s="7"/>
      <c r="E103" s="8"/>
      <c r="F103" s="8"/>
      <c r="G103" s="7" t="str">
        <f t="shared" si="5"/>
        <v/>
      </c>
      <c r="H103" s="8"/>
    </row>
    <row r="104" spans="1:9" ht="12.75">
      <c r="A104" s="2">
        <v>101</v>
      </c>
      <c r="B104" s="7"/>
      <c r="C104" s="7"/>
      <c r="D104" s="7"/>
      <c r="E104" s="8"/>
      <c r="F104" s="8"/>
      <c r="G104" s="7" t="str">
        <f t="shared" si="5"/>
        <v/>
      </c>
      <c r="H104" s="8"/>
    </row>
    <row r="105" spans="1:9" ht="12.75">
      <c r="A105" s="2">
        <v>102</v>
      </c>
      <c r="B105" s="7"/>
      <c r="C105" s="7"/>
      <c r="D105" s="7"/>
      <c r="E105" s="8"/>
      <c r="F105" s="8"/>
      <c r="G105" s="7" t="str">
        <f t="shared" si="5"/>
        <v/>
      </c>
      <c r="H105" s="8"/>
    </row>
    <row r="106" spans="1:9" ht="12.75">
      <c r="A106" s="2">
        <v>103</v>
      </c>
      <c r="B106" s="7"/>
      <c r="C106" s="7"/>
      <c r="D106" s="7"/>
      <c r="E106" s="8"/>
      <c r="F106" s="8"/>
      <c r="G106" s="7" t="str">
        <f t="shared" si="5"/>
        <v/>
      </c>
      <c r="H106" s="8"/>
    </row>
    <row r="107" spans="1:9" ht="12.75">
      <c r="A107" s="2">
        <v>104</v>
      </c>
      <c r="B107" s="7"/>
      <c r="C107" s="7"/>
      <c r="D107" s="7"/>
      <c r="E107" s="8"/>
      <c r="F107" s="8"/>
      <c r="G107" s="7" t="str">
        <f t="shared" si="5"/>
        <v/>
      </c>
      <c r="H107" s="8"/>
    </row>
    <row r="108" spans="1:9" ht="12.75">
      <c r="A108" s="2">
        <v>105</v>
      </c>
      <c r="B108" s="7"/>
      <c r="C108" s="7"/>
      <c r="D108" s="7"/>
      <c r="E108" s="8"/>
      <c r="F108" s="8"/>
      <c r="G108" s="7" t="str">
        <f t="shared" si="5"/>
        <v/>
      </c>
      <c r="H108" s="8"/>
    </row>
    <row r="109" spans="1:9" ht="12.75">
      <c r="A109" s="2">
        <v>106</v>
      </c>
      <c r="B109" s="7"/>
      <c r="C109" s="7"/>
      <c r="D109" s="7"/>
      <c r="E109" s="8"/>
      <c r="F109" s="8"/>
      <c r="G109" s="7" t="str">
        <f t="shared" si="5"/>
        <v/>
      </c>
      <c r="H109" s="8"/>
    </row>
    <row r="110" spans="1:9" ht="12.75">
      <c r="A110" s="2">
        <v>107</v>
      </c>
      <c r="B110" s="7"/>
      <c r="C110" s="7"/>
      <c r="D110" s="7"/>
      <c r="E110" s="8"/>
      <c r="F110" s="8"/>
      <c r="G110" s="7" t="str">
        <f t="shared" si="5"/>
        <v/>
      </c>
      <c r="H110" s="8"/>
    </row>
    <row r="111" spans="1:9" ht="12.75">
      <c r="A111" s="2">
        <v>108</v>
      </c>
      <c r="B111" s="7"/>
      <c r="C111" s="7"/>
      <c r="D111" s="7"/>
      <c r="E111" s="8"/>
      <c r="F111" s="8"/>
      <c r="G111" s="7" t="str">
        <f t="shared" si="5"/>
        <v/>
      </c>
      <c r="H111" s="8"/>
    </row>
    <row r="112" spans="1:9" ht="12.75">
      <c r="A112" s="2">
        <v>109</v>
      </c>
      <c r="B112" s="7"/>
      <c r="C112" s="7"/>
      <c r="D112" s="7"/>
      <c r="E112" s="8"/>
      <c r="F112" s="8"/>
      <c r="G112" s="7" t="str">
        <f t="shared" si="5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5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5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5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5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5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5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5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5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5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5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5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5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5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5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5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5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5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5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5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5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5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5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5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5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5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5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5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5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5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5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5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5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5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5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5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5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5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5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5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5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5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5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5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5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5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5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5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5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5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5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5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5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5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5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5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5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5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5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5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5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5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5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5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5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5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5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5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5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5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5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5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5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5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5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5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5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5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5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5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5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5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5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5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5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5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5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5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5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5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5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5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5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5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5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5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5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5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5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5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5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5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5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5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5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5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5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5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5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5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5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5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5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5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5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5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5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5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5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5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5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5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5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5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5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5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5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5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5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5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5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5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5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5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5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5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5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5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5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5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5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5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5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5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5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5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5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5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5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5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5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5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5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5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5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5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5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5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5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5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5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5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5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5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5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5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5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5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5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5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5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5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5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5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5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5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5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5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5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5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5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5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5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5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5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5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5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5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5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5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5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5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5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5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5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5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5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5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5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5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5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5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5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5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5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5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5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5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5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5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5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5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5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5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5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5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5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5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5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5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5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5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5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5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5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5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5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5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5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5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5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5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5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5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5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5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5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5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5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5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5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5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5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5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5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ref="G357:G503" si="6">IF(F357="","",F357&amp;"@r6-1.deped.gov.ph")</f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6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6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6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6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6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6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6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6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6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6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6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6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6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6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6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6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6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6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6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6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6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6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6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6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6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6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6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6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6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6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6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6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6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6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6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6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6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6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6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6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6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6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6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6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6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6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6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6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6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6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6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6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6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6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6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6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6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6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6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6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6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6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6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6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6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6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6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6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6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6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6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6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6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6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6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6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6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6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6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6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6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6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6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6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6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6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6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6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6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6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6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6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6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6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6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6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6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6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6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6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6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6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6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6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6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6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6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6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6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6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6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6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6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6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6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6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6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6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6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6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6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6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6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6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6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6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6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6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6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6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6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6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6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6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6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6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6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6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6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6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6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6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6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6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6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6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2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430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8" t="s">
        <v>431</v>
      </c>
      <c r="C4" s="44" t="s">
        <v>432</v>
      </c>
      <c r="D4" s="7" t="s">
        <v>433</v>
      </c>
      <c r="E4" s="8" t="s">
        <v>255</v>
      </c>
      <c r="F4" s="45">
        <v>117252120002</v>
      </c>
      <c r="G4" s="7" t="str">
        <f t="shared" ref="G4:G258" si="0">IF(F4="","",F4&amp;"@r6-1.deped.gov.ph")</f>
        <v>117252120002@r6-1.deped.gov.ph</v>
      </c>
      <c r="H4" s="8"/>
    </row>
    <row r="5" spans="1:11" ht="12.75">
      <c r="A5" s="2">
        <v>2</v>
      </c>
      <c r="B5" s="8" t="s">
        <v>431</v>
      </c>
      <c r="C5" s="46" t="s">
        <v>434</v>
      </c>
      <c r="D5" s="7" t="s">
        <v>435</v>
      </c>
      <c r="E5" s="8" t="s">
        <v>263</v>
      </c>
      <c r="F5" s="47">
        <v>117570150002</v>
      </c>
      <c r="G5" s="7" t="str">
        <f t="shared" si="0"/>
        <v>117570150002@r6-1.deped.gov.ph</v>
      </c>
      <c r="H5" s="8"/>
    </row>
    <row r="6" spans="1:11" ht="12.75">
      <c r="A6" s="2">
        <v>3</v>
      </c>
      <c r="B6" s="8" t="s">
        <v>431</v>
      </c>
      <c r="C6" s="44" t="s">
        <v>436</v>
      </c>
      <c r="D6" s="7" t="s">
        <v>437</v>
      </c>
      <c r="E6" s="8" t="s">
        <v>239</v>
      </c>
      <c r="F6" s="47">
        <v>117570150003</v>
      </c>
      <c r="G6" s="7" t="str">
        <f t="shared" si="0"/>
        <v>117570150003@r6-1.deped.gov.ph</v>
      </c>
      <c r="H6" s="8"/>
    </row>
    <row r="7" spans="1:11" ht="12.75">
      <c r="A7" s="2">
        <v>4</v>
      </c>
      <c r="B7" s="8" t="s">
        <v>431</v>
      </c>
      <c r="C7" s="46" t="s">
        <v>438</v>
      </c>
      <c r="D7" s="7" t="s">
        <v>439</v>
      </c>
      <c r="E7" s="8" t="s">
        <v>255</v>
      </c>
      <c r="F7" s="47">
        <v>117570150004</v>
      </c>
      <c r="G7" s="7" t="str">
        <f t="shared" si="0"/>
        <v>117570150004@r6-1.deped.gov.ph</v>
      </c>
      <c r="H7" s="8"/>
    </row>
    <row r="8" spans="1:11" ht="12.75">
      <c r="A8" s="2">
        <v>5</v>
      </c>
      <c r="B8" s="8" t="s">
        <v>431</v>
      </c>
      <c r="C8" s="48" t="s">
        <v>440</v>
      </c>
      <c r="D8" s="7" t="s">
        <v>441</v>
      </c>
      <c r="E8" s="8" t="s">
        <v>361</v>
      </c>
      <c r="F8" s="47">
        <v>117570150076</v>
      </c>
      <c r="G8" s="7" t="str">
        <f t="shared" si="0"/>
        <v>117570150076@r6-1.deped.gov.ph</v>
      </c>
      <c r="H8" s="8"/>
    </row>
    <row r="9" spans="1:11" ht="12.75">
      <c r="A9" s="2">
        <v>6</v>
      </c>
      <c r="B9" s="8" t="s">
        <v>431</v>
      </c>
      <c r="C9" s="44" t="s">
        <v>442</v>
      </c>
      <c r="D9" s="7" t="s">
        <v>443</v>
      </c>
      <c r="E9" s="8" t="s">
        <v>444</v>
      </c>
      <c r="F9" s="47">
        <v>117574160001</v>
      </c>
      <c r="G9" s="7" t="str">
        <f t="shared" si="0"/>
        <v>117574160001@r6-1.deped.gov.ph</v>
      </c>
      <c r="H9" s="8"/>
    </row>
    <row r="10" spans="1:11" ht="12.75">
      <c r="A10" s="2">
        <v>7</v>
      </c>
      <c r="B10" s="8" t="s">
        <v>431</v>
      </c>
      <c r="C10" s="46" t="s">
        <v>445</v>
      </c>
      <c r="D10" s="7" t="s">
        <v>446</v>
      </c>
      <c r="E10" s="8" t="s">
        <v>263</v>
      </c>
      <c r="F10" s="47">
        <v>117570150032</v>
      </c>
      <c r="G10" s="7" t="str">
        <f t="shared" si="0"/>
        <v>117570150032@r6-1.deped.gov.ph</v>
      </c>
      <c r="H10" s="8"/>
    </row>
    <row r="11" spans="1:11" ht="12.75">
      <c r="A11" s="2">
        <v>8</v>
      </c>
      <c r="B11" s="8" t="s">
        <v>431</v>
      </c>
      <c r="C11" s="44" t="s">
        <v>447</v>
      </c>
      <c r="D11" s="7" t="s">
        <v>448</v>
      </c>
      <c r="E11" s="8" t="s">
        <v>257</v>
      </c>
      <c r="F11" s="47">
        <v>117570150080</v>
      </c>
      <c r="G11" s="7" t="str">
        <f t="shared" si="0"/>
        <v>117570150080@r6-1.deped.gov.ph</v>
      </c>
      <c r="H11" s="8"/>
    </row>
    <row r="12" spans="1:11" ht="12.75">
      <c r="A12" s="2">
        <v>9</v>
      </c>
      <c r="B12" s="8" t="s">
        <v>431</v>
      </c>
      <c r="C12" s="49" t="s">
        <v>449</v>
      </c>
      <c r="D12" s="7" t="s">
        <v>450</v>
      </c>
      <c r="E12" s="8"/>
      <c r="F12" s="47">
        <v>136471120502</v>
      </c>
      <c r="G12" s="7" t="str">
        <f t="shared" si="0"/>
        <v>136471120502@r6-1.deped.gov.ph</v>
      </c>
      <c r="H12" s="8"/>
    </row>
    <row r="13" spans="1:11" ht="12.75">
      <c r="A13" s="2">
        <v>10</v>
      </c>
      <c r="B13" s="8" t="s">
        <v>431</v>
      </c>
      <c r="C13" s="50" t="s">
        <v>451</v>
      </c>
      <c r="D13" s="7" t="s">
        <v>452</v>
      </c>
      <c r="E13" s="8" t="s">
        <v>234</v>
      </c>
      <c r="F13" s="47">
        <v>117574150029</v>
      </c>
      <c r="G13" s="7" t="str">
        <f t="shared" si="0"/>
        <v>117574150029@r6-1.deped.gov.ph</v>
      </c>
      <c r="H13" s="8"/>
    </row>
    <row r="14" spans="1:11" ht="12.75">
      <c r="A14" s="2">
        <v>11</v>
      </c>
      <c r="B14" s="8" t="s">
        <v>431</v>
      </c>
      <c r="C14" s="46" t="s">
        <v>453</v>
      </c>
      <c r="D14" s="7" t="s">
        <v>454</v>
      </c>
      <c r="E14" s="8" t="s">
        <v>242</v>
      </c>
      <c r="F14" s="47">
        <v>117570150011</v>
      </c>
      <c r="G14" s="7" t="str">
        <f t="shared" si="0"/>
        <v>117570150011@r6-1.deped.gov.ph</v>
      </c>
      <c r="H14" s="8"/>
    </row>
    <row r="15" spans="1:11" ht="12.75">
      <c r="A15" s="2">
        <v>12</v>
      </c>
      <c r="B15" s="8" t="s">
        <v>431</v>
      </c>
      <c r="C15" s="48" t="s">
        <v>455</v>
      </c>
      <c r="D15" s="7" t="s">
        <v>456</v>
      </c>
      <c r="E15" s="8" t="s">
        <v>239</v>
      </c>
      <c r="F15" s="47">
        <v>117570150012</v>
      </c>
      <c r="G15" s="7" t="str">
        <f t="shared" si="0"/>
        <v>117570150012@r6-1.deped.gov.ph</v>
      </c>
      <c r="H15" s="8"/>
    </row>
    <row r="16" spans="1:11" ht="12.75">
      <c r="A16" s="2">
        <v>13</v>
      </c>
      <c r="B16" s="8" t="s">
        <v>431</v>
      </c>
      <c r="C16" s="44" t="s">
        <v>457</v>
      </c>
      <c r="D16" s="7" t="s">
        <v>458</v>
      </c>
      <c r="E16" s="8" t="s">
        <v>361</v>
      </c>
      <c r="F16" s="47">
        <v>119395150038</v>
      </c>
      <c r="G16" s="7" t="str">
        <f t="shared" si="0"/>
        <v>119395150038@r6-1.deped.gov.ph</v>
      </c>
      <c r="H16" s="8"/>
    </row>
    <row r="17" spans="1:8" ht="12.75">
      <c r="A17" s="2">
        <v>14</v>
      </c>
      <c r="B17" s="8" t="s">
        <v>431</v>
      </c>
      <c r="C17" s="50" t="s">
        <v>459</v>
      </c>
      <c r="D17" s="7" t="s">
        <v>460</v>
      </c>
      <c r="E17" s="8" t="s">
        <v>257</v>
      </c>
      <c r="F17" s="47">
        <v>117570140064</v>
      </c>
      <c r="G17" s="7" t="str">
        <f t="shared" si="0"/>
        <v>117570140064@r6-1.deped.gov.ph</v>
      </c>
      <c r="H17" s="8"/>
    </row>
    <row r="18" spans="1:8" ht="12.75">
      <c r="A18" s="2">
        <v>15</v>
      </c>
      <c r="B18" s="8" t="s">
        <v>431</v>
      </c>
      <c r="C18" s="46" t="s">
        <v>461</v>
      </c>
      <c r="D18" s="7" t="s">
        <v>462</v>
      </c>
      <c r="E18" s="8" t="s">
        <v>245</v>
      </c>
      <c r="F18" s="47">
        <v>117567150013</v>
      </c>
      <c r="G18" s="7" t="str">
        <f t="shared" si="0"/>
        <v>117567150013@r6-1.deped.gov.ph</v>
      </c>
      <c r="H18" s="8"/>
    </row>
    <row r="19" spans="1:8" ht="12.75">
      <c r="A19" s="2">
        <v>16</v>
      </c>
      <c r="B19" s="8" t="s">
        <v>431</v>
      </c>
      <c r="C19" s="48" t="s">
        <v>463</v>
      </c>
      <c r="D19" s="7" t="s">
        <v>464</v>
      </c>
      <c r="E19" s="8" t="s">
        <v>231</v>
      </c>
      <c r="F19" s="47">
        <v>117570150081</v>
      </c>
      <c r="G19" s="7" t="str">
        <f t="shared" si="0"/>
        <v>117570150081@r6-1.deped.gov.ph</v>
      </c>
      <c r="H19" s="8"/>
    </row>
    <row r="20" spans="1:8" ht="12.75">
      <c r="A20" s="2">
        <v>17</v>
      </c>
      <c r="B20" s="8" t="s">
        <v>431</v>
      </c>
      <c r="C20" s="44" t="s">
        <v>465</v>
      </c>
      <c r="D20" s="7" t="s">
        <v>466</v>
      </c>
      <c r="E20" s="8" t="s">
        <v>257</v>
      </c>
      <c r="F20" s="47">
        <v>136808150048</v>
      </c>
      <c r="G20" s="7" t="str">
        <f t="shared" si="0"/>
        <v>136808150048@r6-1.deped.gov.ph</v>
      </c>
      <c r="H20" s="8"/>
    </row>
    <row r="21" spans="1:8" ht="12.75">
      <c r="A21" s="2">
        <v>18</v>
      </c>
      <c r="B21" s="8" t="s">
        <v>431</v>
      </c>
      <c r="C21" s="50" t="s">
        <v>467</v>
      </c>
      <c r="D21" s="7" t="s">
        <v>468</v>
      </c>
      <c r="E21" s="8" t="s">
        <v>239</v>
      </c>
      <c r="F21" s="47">
        <v>117570150041</v>
      </c>
      <c r="G21" s="7" t="str">
        <f t="shared" si="0"/>
        <v>117570150041@r6-1.deped.gov.ph</v>
      </c>
      <c r="H21" s="8"/>
    </row>
    <row r="22" spans="1:8" ht="12.75">
      <c r="A22" s="2">
        <v>19</v>
      </c>
      <c r="B22" s="8" t="s">
        <v>431</v>
      </c>
      <c r="C22" s="50" t="s">
        <v>469</v>
      </c>
      <c r="D22" s="7" t="s">
        <v>470</v>
      </c>
      <c r="E22" s="8" t="s">
        <v>361</v>
      </c>
      <c r="F22" s="47">
        <v>117570150042</v>
      </c>
      <c r="G22" s="7" t="str">
        <f t="shared" si="0"/>
        <v>117570150042@r6-1.deped.gov.ph</v>
      </c>
      <c r="H22" s="8"/>
    </row>
    <row r="23" spans="1:8" ht="12.75">
      <c r="A23" s="2">
        <v>20</v>
      </c>
      <c r="B23" s="8" t="s">
        <v>431</v>
      </c>
      <c r="C23" s="44" t="s">
        <v>471</v>
      </c>
      <c r="D23" s="7" t="s">
        <v>472</v>
      </c>
      <c r="E23" s="8" t="s">
        <v>234</v>
      </c>
      <c r="F23" s="45">
        <v>117570150045</v>
      </c>
      <c r="G23" s="7" t="str">
        <f t="shared" si="0"/>
        <v>117570150045@r6-1.deped.gov.ph</v>
      </c>
      <c r="H23" s="8"/>
    </row>
    <row r="24" spans="1:8" ht="12.75">
      <c r="A24" s="2">
        <v>21</v>
      </c>
      <c r="B24" s="8" t="s">
        <v>431</v>
      </c>
      <c r="C24" s="46" t="s">
        <v>473</v>
      </c>
      <c r="D24" s="7" t="s">
        <v>474</v>
      </c>
      <c r="E24" s="8" t="s">
        <v>294</v>
      </c>
      <c r="F24" s="47">
        <v>117571140063</v>
      </c>
      <c r="G24" s="7" t="str">
        <f t="shared" si="0"/>
        <v>117571140063@r6-1.deped.gov.ph</v>
      </c>
      <c r="H24" s="8"/>
    </row>
    <row r="25" spans="1:8" ht="12.75">
      <c r="A25" s="2">
        <v>22</v>
      </c>
      <c r="B25" s="8" t="s">
        <v>431</v>
      </c>
      <c r="C25" s="48" t="s">
        <v>475</v>
      </c>
      <c r="D25" s="7" t="s">
        <v>476</v>
      </c>
      <c r="E25" s="8" t="s">
        <v>255</v>
      </c>
      <c r="F25" s="47">
        <v>117570150046</v>
      </c>
      <c r="G25" s="7" t="str">
        <f t="shared" si="0"/>
        <v>117570150046@r6-1.deped.gov.ph</v>
      </c>
      <c r="H25" s="8"/>
    </row>
    <row r="26" spans="1:8" ht="12.75">
      <c r="A26" s="2">
        <v>23</v>
      </c>
      <c r="B26" s="8" t="s">
        <v>431</v>
      </c>
      <c r="C26" s="44" t="s">
        <v>477</v>
      </c>
      <c r="D26" s="7" t="s">
        <v>478</v>
      </c>
      <c r="E26" s="8" t="s">
        <v>263</v>
      </c>
      <c r="F26" s="47">
        <v>117574150063</v>
      </c>
      <c r="G26" s="7" t="str">
        <f t="shared" si="0"/>
        <v>117574150063@r6-1.deped.gov.ph</v>
      </c>
      <c r="H26" s="8"/>
    </row>
    <row r="27" spans="1:8" ht="12.75">
      <c r="A27" s="2">
        <v>24</v>
      </c>
      <c r="B27" s="8" t="s">
        <v>431</v>
      </c>
      <c r="C27" s="46" t="s">
        <v>479</v>
      </c>
      <c r="D27" s="7" t="s">
        <v>480</v>
      </c>
      <c r="E27" s="8" t="s">
        <v>281</v>
      </c>
      <c r="F27" s="47">
        <v>117574150064</v>
      </c>
      <c r="G27" s="7" t="str">
        <f t="shared" si="0"/>
        <v>117574150064@r6-1.deped.gov.ph</v>
      </c>
      <c r="H27" s="8"/>
    </row>
    <row r="28" spans="1:8" ht="12.75">
      <c r="A28" s="2">
        <v>25</v>
      </c>
      <c r="B28" s="8" t="s">
        <v>431</v>
      </c>
      <c r="C28" s="48" t="s">
        <v>481</v>
      </c>
      <c r="D28" s="7" t="s">
        <v>482</v>
      </c>
      <c r="E28" s="8" t="s">
        <v>252</v>
      </c>
      <c r="F28" s="47">
        <v>117572150069</v>
      </c>
      <c r="G28" s="7" t="str">
        <f t="shared" si="0"/>
        <v>117572150069@r6-1.deped.gov.ph</v>
      </c>
      <c r="H28" s="8"/>
    </row>
    <row r="29" spans="1:8" ht="12.75">
      <c r="A29" s="2">
        <v>26</v>
      </c>
      <c r="B29" s="8" t="s">
        <v>431</v>
      </c>
      <c r="C29" s="48" t="s">
        <v>330</v>
      </c>
      <c r="D29" s="7" t="s">
        <v>483</v>
      </c>
      <c r="E29" s="8" t="s">
        <v>239</v>
      </c>
      <c r="F29" s="47">
        <v>117570150054</v>
      </c>
      <c r="G29" s="7" t="str">
        <f t="shared" si="0"/>
        <v>117570150054@r6-1.deped.gov.ph</v>
      </c>
      <c r="H29" s="8"/>
    </row>
    <row r="30" spans="1:8" ht="12.75">
      <c r="A30" s="2">
        <v>27</v>
      </c>
      <c r="B30" s="8" t="s">
        <v>431</v>
      </c>
      <c r="C30" s="48" t="s">
        <v>484</v>
      </c>
      <c r="D30" s="7" t="s">
        <v>485</v>
      </c>
      <c r="E30" s="8" t="s">
        <v>239</v>
      </c>
      <c r="F30" s="47">
        <v>117567150020</v>
      </c>
      <c r="G30" s="7" t="str">
        <f t="shared" si="0"/>
        <v>117567150020@r6-1.deped.gov.ph</v>
      </c>
      <c r="H30" s="8"/>
    </row>
    <row r="31" spans="1:8" ht="12.75">
      <c r="A31" s="2">
        <v>28</v>
      </c>
      <c r="B31" s="8" t="s">
        <v>431</v>
      </c>
      <c r="C31" s="48" t="s">
        <v>486</v>
      </c>
      <c r="D31" s="7" t="s">
        <v>487</v>
      </c>
      <c r="E31" s="8" t="s">
        <v>257</v>
      </c>
      <c r="F31" s="47">
        <v>105149150063</v>
      </c>
      <c r="G31" s="7" t="str">
        <f t="shared" si="0"/>
        <v>105149150063@r6-1.deped.gov.ph</v>
      </c>
      <c r="H31" s="8"/>
    </row>
    <row r="32" spans="1:8" ht="12.75">
      <c r="A32" s="2">
        <v>29</v>
      </c>
      <c r="B32" s="8" t="s">
        <v>431</v>
      </c>
      <c r="C32" s="48" t="s">
        <v>488</v>
      </c>
      <c r="D32" s="7" t="s">
        <v>489</v>
      </c>
      <c r="E32" s="8" t="s">
        <v>231</v>
      </c>
      <c r="F32" s="47">
        <v>117570150025</v>
      </c>
      <c r="G32" s="7" t="str">
        <f t="shared" si="0"/>
        <v>117570150025@r6-1.deped.gov.ph</v>
      </c>
      <c r="H32" s="8"/>
    </row>
    <row r="33" spans="1:8" ht="12.75">
      <c r="A33" s="2">
        <v>30</v>
      </c>
      <c r="B33" s="8" t="s">
        <v>431</v>
      </c>
      <c r="C33" s="48" t="s">
        <v>490</v>
      </c>
      <c r="D33" s="7" t="s">
        <v>491</v>
      </c>
      <c r="E33" s="8" t="s">
        <v>245</v>
      </c>
      <c r="F33" s="47">
        <v>111224150019</v>
      </c>
      <c r="G33" s="7" t="str">
        <f t="shared" si="0"/>
        <v>111224150019@r6-1.deped.gov.ph</v>
      </c>
      <c r="H33" s="8"/>
    </row>
    <row r="34" spans="1:8" ht="12.75">
      <c r="A34" s="2">
        <v>31</v>
      </c>
      <c r="B34" s="8" t="s">
        <v>431</v>
      </c>
      <c r="C34" s="35" t="s">
        <v>492</v>
      </c>
      <c r="D34" s="7" t="s">
        <v>493</v>
      </c>
      <c r="E34" s="8" t="s">
        <v>257</v>
      </c>
      <c r="F34" s="47">
        <v>117574150077</v>
      </c>
      <c r="G34" s="7" t="str">
        <f t="shared" si="0"/>
        <v>117574150077@r6-1.deped.gov.ph</v>
      </c>
      <c r="H34" s="8"/>
    </row>
    <row r="35" spans="1:8" ht="12.75">
      <c r="A35" s="2">
        <v>32</v>
      </c>
      <c r="B35" s="8" t="s">
        <v>494</v>
      </c>
      <c r="C35" s="48" t="s">
        <v>495</v>
      </c>
      <c r="D35" s="7" t="s">
        <v>496</v>
      </c>
      <c r="E35" s="8" t="s">
        <v>239</v>
      </c>
      <c r="F35" s="45">
        <v>117546150047</v>
      </c>
      <c r="G35" s="7" t="str">
        <f t="shared" si="0"/>
        <v>117546150047@r6-1.deped.gov.ph</v>
      </c>
      <c r="H35" s="8"/>
    </row>
    <row r="36" spans="1:8" ht="12.75">
      <c r="A36" s="2">
        <v>33</v>
      </c>
      <c r="B36" s="8" t="s">
        <v>494</v>
      </c>
      <c r="C36" s="44" t="s">
        <v>497</v>
      </c>
      <c r="D36" s="7" t="s">
        <v>498</v>
      </c>
      <c r="E36" s="8" t="s">
        <v>309</v>
      </c>
      <c r="F36" s="47">
        <v>117570150028</v>
      </c>
      <c r="G36" s="7" t="str">
        <f t="shared" si="0"/>
        <v>117570150028@r6-1.deped.gov.ph</v>
      </c>
      <c r="H36" s="8"/>
    </row>
    <row r="37" spans="1:8" ht="12.75">
      <c r="A37" s="2">
        <v>34</v>
      </c>
      <c r="B37" s="8" t="s">
        <v>494</v>
      </c>
      <c r="C37" s="50" t="s">
        <v>499</v>
      </c>
      <c r="D37" s="7" t="s">
        <v>500</v>
      </c>
      <c r="E37" s="8" t="s">
        <v>311</v>
      </c>
      <c r="F37" s="47">
        <v>117460130073</v>
      </c>
      <c r="G37" s="7" t="str">
        <f t="shared" si="0"/>
        <v>117460130073@r6-1.deped.gov.ph</v>
      </c>
      <c r="H37" s="8"/>
    </row>
    <row r="38" spans="1:8" ht="12.75">
      <c r="A38" s="2">
        <v>35</v>
      </c>
      <c r="B38" s="8" t="s">
        <v>494</v>
      </c>
      <c r="C38" s="46" t="s">
        <v>501</v>
      </c>
      <c r="D38" s="7" t="s">
        <v>502</v>
      </c>
      <c r="E38" s="8" t="s">
        <v>311</v>
      </c>
      <c r="F38" s="47">
        <v>117570150007</v>
      </c>
      <c r="G38" s="7" t="str">
        <f t="shared" si="0"/>
        <v>117570150007@r6-1.deped.gov.ph</v>
      </c>
      <c r="H38" s="8"/>
    </row>
    <row r="39" spans="1:8" ht="12.75">
      <c r="A39" s="2">
        <v>36</v>
      </c>
      <c r="B39" s="8" t="s">
        <v>494</v>
      </c>
      <c r="C39" s="44" t="s">
        <v>503</v>
      </c>
      <c r="D39" s="7" t="s">
        <v>468</v>
      </c>
      <c r="E39" s="8" t="s">
        <v>239</v>
      </c>
      <c r="F39" s="47">
        <v>117570150008</v>
      </c>
      <c r="G39" s="7" t="str">
        <f t="shared" si="0"/>
        <v>117570150008@r6-1.deped.gov.ph</v>
      </c>
      <c r="H39" s="8"/>
    </row>
    <row r="40" spans="1:8" ht="12.75">
      <c r="A40" s="2">
        <v>37</v>
      </c>
      <c r="B40" s="8" t="s">
        <v>494</v>
      </c>
      <c r="C40" s="46" t="s">
        <v>504</v>
      </c>
      <c r="D40" s="7" t="s">
        <v>505</v>
      </c>
      <c r="E40" s="8" t="s">
        <v>263</v>
      </c>
      <c r="F40" s="47">
        <v>117570150036</v>
      </c>
      <c r="G40" s="7" t="str">
        <f t="shared" si="0"/>
        <v>117570150036@r6-1.deped.gov.ph</v>
      </c>
      <c r="H40" s="8"/>
    </row>
    <row r="41" spans="1:8" ht="12.75">
      <c r="A41" s="2">
        <v>38</v>
      </c>
      <c r="B41" s="8" t="s">
        <v>494</v>
      </c>
      <c r="C41" s="48" t="s">
        <v>506</v>
      </c>
      <c r="D41" s="7" t="s">
        <v>507</v>
      </c>
      <c r="E41" s="8" t="s">
        <v>260</v>
      </c>
      <c r="F41" s="47">
        <v>117570150079</v>
      </c>
      <c r="G41" s="7" t="str">
        <f t="shared" si="0"/>
        <v>117570150079@r6-1.deped.gov.ph</v>
      </c>
      <c r="H41" s="8"/>
    </row>
    <row r="42" spans="1:8" ht="12.75">
      <c r="A42" s="2">
        <v>39</v>
      </c>
      <c r="B42" s="8" t="s">
        <v>494</v>
      </c>
      <c r="C42" s="44" t="s">
        <v>508</v>
      </c>
      <c r="D42" s="7" t="s">
        <v>509</v>
      </c>
      <c r="E42" s="8" t="s">
        <v>231</v>
      </c>
      <c r="F42" s="47">
        <v>117570150057</v>
      </c>
      <c r="G42" s="7" t="str">
        <f t="shared" si="0"/>
        <v>117570150057@r6-1.deped.gov.ph</v>
      </c>
      <c r="H42" s="8"/>
    </row>
    <row r="43" spans="1:8" ht="12.75">
      <c r="A43" s="2">
        <v>40</v>
      </c>
      <c r="B43" s="8" t="s">
        <v>494</v>
      </c>
      <c r="C43" s="50" t="s">
        <v>510</v>
      </c>
      <c r="D43" s="7" t="s">
        <v>511</v>
      </c>
      <c r="E43" s="8" t="s">
        <v>311</v>
      </c>
      <c r="F43" s="47">
        <v>117570150013</v>
      </c>
      <c r="G43" s="7" t="str">
        <f t="shared" si="0"/>
        <v>117570150013@r6-1.deped.gov.ph</v>
      </c>
      <c r="H43" s="8"/>
    </row>
    <row r="44" spans="1:8" ht="12.75">
      <c r="A44" s="2">
        <v>41</v>
      </c>
      <c r="B44" s="8" t="s">
        <v>494</v>
      </c>
      <c r="C44" s="46" t="s">
        <v>512</v>
      </c>
      <c r="D44" s="7" t="s">
        <v>513</v>
      </c>
      <c r="E44" s="8" t="s">
        <v>231</v>
      </c>
      <c r="F44" s="47">
        <v>117570150072</v>
      </c>
      <c r="G44" s="7" t="str">
        <f t="shared" si="0"/>
        <v>117570150072@r6-1.deped.gov.ph</v>
      </c>
      <c r="H44" s="8"/>
    </row>
    <row r="45" spans="1:8" ht="12.75">
      <c r="A45" s="2">
        <v>42</v>
      </c>
      <c r="B45" s="8" t="s">
        <v>494</v>
      </c>
      <c r="C45" s="44" t="s">
        <v>514</v>
      </c>
      <c r="D45" s="7" t="s">
        <v>515</v>
      </c>
      <c r="E45" s="8" t="s">
        <v>263</v>
      </c>
      <c r="F45" s="47">
        <v>117570150039</v>
      </c>
      <c r="G45" s="7" t="str">
        <f t="shared" si="0"/>
        <v>117570150039@r6-1.deped.gov.ph</v>
      </c>
      <c r="H45" s="8"/>
    </row>
    <row r="46" spans="1:8" ht="12.75">
      <c r="A46" s="2">
        <v>43</v>
      </c>
      <c r="B46" s="8" t="s">
        <v>494</v>
      </c>
      <c r="C46" s="44" t="s">
        <v>516</v>
      </c>
      <c r="D46" s="7" t="s">
        <v>517</v>
      </c>
      <c r="E46" s="8" t="s">
        <v>257</v>
      </c>
      <c r="F46" s="45">
        <v>117567150056</v>
      </c>
      <c r="G46" s="7" t="str">
        <f t="shared" si="0"/>
        <v>117567150056@r6-1.deped.gov.ph</v>
      </c>
      <c r="H46" s="8"/>
    </row>
    <row r="47" spans="1:8" ht="12.75">
      <c r="A47" s="2">
        <v>44</v>
      </c>
      <c r="B47" s="8" t="s">
        <v>494</v>
      </c>
      <c r="C47" s="50" t="s">
        <v>11</v>
      </c>
      <c r="D47" s="7" t="s">
        <v>518</v>
      </c>
      <c r="E47" s="8" t="s">
        <v>361</v>
      </c>
      <c r="F47" s="47">
        <v>117570150058</v>
      </c>
      <c r="G47" s="7" t="str">
        <f t="shared" si="0"/>
        <v>117570150058@r6-1.deped.gov.ph</v>
      </c>
      <c r="H47" s="8"/>
    </row>
    <row r="48" spans="1:8" ht="12.75">
      <c r="A48" s="2">
        <v>45</v>
      </c>
      <c r="B48" s="8" t="s">
        <v>494</v>
      </c>
      <c r="C48" s="50" t="s">
        <v>519</v>
      </c>
      <c r="D48" s="7" t="s">
        <v>520</v>
      </c>
      <c r="E48" s="8" t="s">
        <v>294</v>
      </c>
      <c r="F48" s="47">
        <v>117570140035</v>
      </c>
      <c r="G48" s="7" t="str">
        <f t="shared" si="0"/>
        <v>117570140035@r6-1.deped.gov.ph</v>
      </c>
      <c r="H48" s="8"/>
    </row>
    <row r="49" spans="1:8" ht="12.75">
      <c r="A49" s="2">
        <v>46</v>
      </c>
      <c r="B49" s="8" t="s">
        <v>494</v>
      </c>
      <c r="C49" s="50" t="s">
        <v>434</v>
      </c>
      <c r="D49" s="7" t="s">
        <v>521</v>
      </c>
      <c r="E49" s="8"/>
      <c r="F49" s="47">
        <v>117570150053</v>
      </c>
      <c r="G49" s="7" t="str">
        <f t="shared" si="0"/>
        <v>117570150053@r6-1.deped.gov.ph</v>
      </c>
      <c r="H49" s="8"/>
    </row>
    <row r="50" spans="1:8" ht="12.75">
      <c r="A50" s="2">
        <v>47</v>
      </c>
      <c r="B50" s="8" t="s">
        <v>494</v>
      </c>
      <c r="C50" s="50" t="s">
        <v>522</v>
      </c>
      <c r="D50" s="7" t="s">
        <v>523</v>
      </c>
      <c r="E50" s="8" t="s">
        <v>231</v>
      </c>
      <c r="F50" s="47">
        <v>117570150017</v>
      </c>
      <c r="G50" s="7" t="str">
        <f t="shared" si="0"/>
        <v>117570150017@r6-1.deped.gov.ph</v>
      </c>
      <c r="H50" s="8"/>
    </row>
    <row r="51" spans="1:8" ht="12.75">
      <c r="A51" s="2">
        <v>48</v>
      </c>
      <c r="B51" s="8" t="s">
        <v>494</v>
      </c>
      <c r="C51" s="50" t="s">
        <v>524</v>
      </c>
      <c r="D51" s="7" t="s">
        <v>525</v>
      </c>
      <c r="E51" s="8" t="s">
        <v>257</v>
      </c>
      <c r="F51" s="47">
        <v>117574150031</v>
      </c>
      <c r="G51" s="7" t="str">
        <f t="shared" si="0"/>
        <v>117574150031@r6-1.deped.gov.ph</v>
      </c>
      <c r="H51" s="8"/>
    </row>
    <row r="52" spans="1:8" ht="12.75">
      <c r="A52" s="2">
        <v>49</v>
      </c>
      <c r="B52" s="8" t="s">
        <v>494</v>
      </c>
      <c r="C52" s="46" t="s">
        <v>526</v>
      </c>
      <c r="D52" s="7" t="s">
        <v>527</v>
      </c>
      <c r="E52" s="8" t="s">
        <v>263</v>
      </c>
      <c r="F52" s="47">
        <v>117570150047</v>
      </c>
      <c r="G52" s="7" t="str">
        <f t="shared" si="0"/>
        <v>117570150047@r6-1.deped.gov.ph</v>
      </c>
      <c r="H52" s="8"/>
    </row>
    <row r="53" spans="1:8" ht="12.75">
      <c r="A53" s="2">
        <v>50</v>
      </c>
      <c r="B53" s="8" t="s">
        <v>494</v>
      </c>
      <c r="C53" s="48" t="s">
        <v>314</v>
      </c>
      <c r="D53" s="7" t="s">
        <v>528</v>
      </c>
      <c r="E53" s="8" t="s">
        <v>252</v>
      </c>
      <c r="F53" s="47">
        <v>117575150016</v>
      </c>
      <c r="G53" s="7" t="str">
        <f t="shared" si="0"/>
        <v>117575150016@r6-1.deped.gov.ph</v>
      </c>
      <c r="H53" s="8"/>
    </row>
    <row r="54" spans="1:8" ht="12.75">
      <c r="A54" s="2">
        <v>51</v>
      </c>
      <c r="B54" s="8" t="s">
        <v>494</v>
      </c>
      <c r="C54" s="48" t="s">
        <v>328</v>
      </c>
      <c r="D54" s="7" t="s">
        <v>529</v>
      </c>
      <c r="E54" s="8" t="s">
        <v>311</v>
      </c>
      <c r="F54" s="47">
        <v>117565150021</v>
      </c>
      <c r="G54" s="7" t="str">
        <f t="shared" si="0"/>
        <v>117565150021@r6-1.deped.gov.ph</v>
      </c>
      <c r="H54" s="8"/>
    </row>
    <row r="55" spans="1:8" ht="12.75">
      <c r="A55" s="2">
        <v>52</v>
      </c>
      <c r="B55" s="8" t="s">
        <v>494</v>
      </c>
      <c r="C55" s="48" t="s">
        <v>530</v>
      </c>
      <c r="D55" s="7" t="s">
        <v>531</v>
      </c>
      <c r="E55" s="8"/>
      <c r="F55" s="47">
        <v>117566140020</v>
      </c>
      <c r="G55" s="7" t="str">
        <f t="shared" si="0"/>
        <v>117566140020@r6-1.deped.gov.ph</v>
      </c>
      <c r="H55" s="8"/>
    </row>
    <row r="56" spans="1:8" ht="12.75">
      <c r="A56" s="2">
        <v>53</v>
      </c>
      <c r="B56" s="8" t="s">
        <v>494</v>
      </c>
      <c r="C56" s="48" t="s">
        <v>532</v>
      </c>
      <c r="D56" s="7" t="s">
        <v>533</v>
      </c>
      <c r="E56" s="8" t="s">
        <v>255</v>
      </c>
      <c r="F56" s="47">
        <v>117570150059</v>
      </c>
      <c r="G56" s="7" t="str">
        <f t="shared" si="0"/>
        <v>117570150059@r6-1.deped.gov.ph</v>
      </c>
      <c r="H56" s="8"/>
    </row>
    <row r="57" spans="1:8" ht="12.75">
      <c r="A57" s="2">
        <v>54</v>
      </c>
      <c r="B57" s="8" t="s">
        <v>494</v>
      </c>
      <c r="C57" s="48" t="s">
        <v>534</v>
      </c>
      <c r="D57" s="7" t="s">
        <v>535</v>
      </c>
      <c r="E57" s="8" t="s">
        <v>536</v>
      </c>
      <c r="F57" s="47">
        <v>117574150066</v>
      </c>
      <c r="G57" s="7" t="str">
        <f t="shared" si="0"/>
        <v>117574150066@r6-1.deped.gov.ph</v>
      </c>
      <c r="H57" s="8"/>
    </row>
    <row r="58" spans="1:8" ht="12.75">
      <c r="A58" s="2">
        <v>55</v>
      </c>
      <c r="B58" s="8" t="s">
        <v>494</v>
      </c>
      <c r="C58" s="48" t="s">
        <v>537</v>
      </c>
      <c r="D58" s="7" t="s">
        <v>538</v>
      </c>
      <c r="E58" s="8" t="s">
        <v>268</v>
      </c>
      <c r="F58" s="47">
        <v>117570150077</v>
      </c>
      <c r="G58" s="7" t="str">
        <f t="shared" si="0"/>
        <v>117570150077@r6-1.deped.gov.ph</v>
      </c>
      <c r="H58" s="8"/>
    </row>
    <row r="59" spans="1:8" ht="12.75">
      <c r="A59" s="2">
        <v>56</v>
      </c>
      <c r="B59" s="8" t="s">
        <v>494</v>
      </c>
      <c r="C59" s="48" t="s">
        <v>539</v>
      </c>
      <c r="D59" s="7" t="s">
        <v>540</v>
      </c>
      <c r="E59" s="8" t="s">
        <v>281</v>
      </c>
      <c r="F59" s="47">
        <v>117573150114</v>
      </c>
      <c r="G59" s="7" t="str">
        <f t="shared" si="0"/>
        <v>117573150114@r6-1.deped.gov.ph</v>
      </c>
      <c r="H59" s="8"/>
    </row>
    <row r="60" spans="1:8" ht="12.75">
      <c r="A60" s="2">
        <v>57</v>
      </c>
      <c r="B60" s="8" t="s">
        <v>494</v>
      </c>
      <c r="C60" s="48" t="s">
        <v>539</v>
      </c>
      <c r="D60" s="7" t="s">
        <v>541</v>
      </c>
      <c r="E60" s="8" t="s">
        <v>239</v>
      </c>
      <c r="F60" s="47">
        <v>117573130018</v>
      </c>
      <c r="G60" s="7" t="str">
        <f t="shared" si="0"/>
        <v>117573130018@r6-1.deped.gov.ph</v>
      </c>
      <c r="H60" s="8"/>
    </row>
    <row r="61" spans="1:8" ht="12.75">
      <c r="A61" s="2">
        <v>58</v>
      </c>
      <c r="B61" s="8" t="s">
        <v>494</v>
      </c>
      <c r="C61" s="44" t="s">
        <v>542</v>
      </c>
      <c r="D61" s="7" t="s">
        <v>529</v>
      </c>
      <c r="E61" s="8" t="s">
        <v>257</v>
      </c>
      <c r="F61" s="47">
        <v>117570150024</v>
      </c>
      <c r="G61" s="7" t="str">
        <f t="shared" si="0"/>
        <v>117570150024@r6-1.deped.gov.ph</v>
      </c>
      <c r="H61" s="8"/>
    </row>
    <row r="62" spans="1:8" ht="12.75">
      <c r="A62" s="2">
        <v>59</v>
      </c>
      <c r="B62" s="8" t="s">
        <v>494</v>
      </c>
      <c r="C62" s="46" t="s">
        <v>543</v>
      </c>
      <c r="D62" s="7" t="s">
        <v>544</v>
      </c>
      <c r="E62" s="8" t="s">
        <v>263</v>
      </c>
      <c r="F62" s="47">
        <v>117570150074</v>
      </c>
      <c r="G62" s="7" t="str">
        <f t="shared" si="0"/>
        <v>117570150074@r6-1.deped.gov.ph</v>
      </c>
      <c r="H62" s="8"/>
    </row>
    <row r="63" spans="1:8" ht="12.75">
      <c r="A63" s="2">
        <v>60</v>
      </c>
      <c r="B63" s="8" t="s">
        <v>494</v>
      </c>
      <c r="C63" s="48" t="s">
        <v>545</v>
      </c>
      <c r="D63" s="7" t="s">
        <v>546</v>
      </c>
      <c r="E63" s="8" t="s">
        <v>294</v>
      </c>
      <c r="F63" s="47">
        <v>117531150155</v>
      </c>
      <c r="G63" s="7" t="str">
        <f t="shared" si="0"/>
        <v>117531150155@r6-1.deped.gov.ph</v>
      </c>
      <c r="H63" s="8"/>
    </row>
    <row r="64" spans="1:8" ht="12.75">
      <c r="A64" s="2">
        <v>61</v>
      </c>
      <c r="B64" s="8" t="s">
        <v>494</v>
      </c>
      <c r="C64" s="44" t="s">
        <v>547</v>
      </c>
      <c r="D64" s="7" t="s">
        <v>548</v>
      </c>
      <c r="E64" s="8" t="s">
        <v>294</v>
      </c>
      <c r="F64" s="47">
        <v>117570150026</v>
      </c>
      <c r="G64" s="7" t="str">
        <f t="shared" si="0"/>
        <v>117570150026@r6-1.deped.gov.ph</v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ref="G259:G503" si="1">IF(F259="","",F259&amp;"@r6-1.deped.gov.ph")</f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1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1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1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1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1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1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1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1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1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1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1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1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1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1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1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1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1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1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1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1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1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1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1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1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1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1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1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1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1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1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1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1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1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1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1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1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1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1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1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1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1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1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1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1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1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1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1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1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1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1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1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1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1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1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1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1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1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1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1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1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1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1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1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1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1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1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1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1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1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1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1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1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1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1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1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1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1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1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1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1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1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1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1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1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1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1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1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1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1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1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1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1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1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1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1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1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1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1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1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1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1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1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1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1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1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1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1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1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1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1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1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1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1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1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1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1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1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1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1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1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1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1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1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1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1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1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1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1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1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1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1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1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1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1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1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1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1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1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1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1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1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1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1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1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1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1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1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1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1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1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1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1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1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1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1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1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1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1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1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1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1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1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1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1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1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1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1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1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1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1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1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1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1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1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1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1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1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1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1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1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1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1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1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1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1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1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1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1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1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1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1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1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1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1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1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1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1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1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1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1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1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1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1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1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1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1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1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1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1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1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1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1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1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1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1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1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1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1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1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1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1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1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1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1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1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1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1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1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1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1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1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1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1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1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1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1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1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1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1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1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1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1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1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1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2"/>
  <sheetViews>
    <sheetView topLeftCell="F1" workbookViewId="0">
      <pane ySplit="3" topLeftCell="A58" activePane="bottomLeft" state="frozen"/>
      <selection pane="bottomLeft" activeCell="G59" sqref="G59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549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550</v>
      </c>
      <c r="C4" s="7" t="s">
        <v>551</v>
      </c>
      <c r="D4" s="7" t="s">
        <v>238</v>
      </c>
      <c r="E4" s="8" t="s">
        <v>120</v>
      </c>
      <c r="F4" s="8">
        <v>117571150047</v>
      </c>
      <c r="G4" s="7" t="str">
        <f t="shared" ref="G4:G67" si="0">IF(F4="","",F4&amp;"@r6-1.deped.gov.ph")</f>
        <v>117571150047@r6-1.deped.gov.ph</v>
      </c>
      <c r="H4" s="8" t="str">
        <f>IF(C4="","",LOWER(C4)&amp;",302726")</f>
        <v>abonales,302726</v>
      </c>
      <c r="I4" t="s">
        <v>14</v>
      </c>
    </row>
    <row r="5" spans="1:11" ht="12.75">
      <c r="A5" s="2">
        <v>2</v>
      </c>
      <c r="B5" s="7" t="s">
        <v>550</v>
      </c>
      <c r="C5" s="7" t="s">
        <v>552</v>
      </c>
      <c r="D5" s="7" t="s">
        <v>553</v>
      </c>
      <c r="E5" s="8" t="s">
        <v>71</v>
      </c>
      <c r="F5" s="8">
        <v>117571150043</v>
      </c>
      <c r="G5" s="7" t="str">
        <f t="shared" si="0"/>
        <v>117571150043@r6-1.deped.gov.ph</v>
      </c>
      <c r="H5" s="8" t="str">
        <f t="shared" ref="H5:H36" si="1">IF(C5="","",LOWER(C5)&amp;",302726")</f>
        <v>asunan,302726</v>
      </c>
      <c r="I5" t="s">
        <v>14</v>
      </c>
    </row>
    <row r="6" spans="1:11" ht="12.75">
      <c r="A6" s="2">
        <v>3</v>
      </c>
      <c r="B6" s="7" t="s">
        <v>550</v>
      </c>
      <c r="C6" s="7" t="s">
        <v>554</v>
      </c>
      <c r="D6" s="7" t="s">
        <v>555</v>
      </c>
      <c r="E6" s="8" t="s">
        <v>34</v>
      </c>
      <c r="F6" s="8">
        <v>117571150044</v>
      </c>
      <c r="G6" s="7" t="str">
        <f t="shared" si="0"/>
        <v>117571150044@r6-1.deped.gov.ph</v>
      </c>
      <c r="H6" s="8" t="str">
        <f t="shared" si="1"/>
        <v>bancayan,302726</v>
      </c>
      <c r="I6" t="s">
        <v>14</v>
      </c>
    </row>
    <row r="7" spans="1:11" ht="12.75">
      <c r="A7" s="2">
        <v>4</v>
      </c>
      <c r="B7" s="7" t="s">
        <v>550</v>
      </c>
      <c r="C7" s="7" t="s">
        <v>556</v>
      </c>
      <c r="D7" s="7" t="s">
        <v>557</v>
      </c>
      <c r="E7" s="8" t="s">
        <v>26</v>
      </c>
      <c r="F7" s="8">
        <v>117476150028</v>
      </c>
      <c r="G7" s="7" t="str">
        <f t="shared" si="0"/>
        <v>117476150028@r6-1.deped.gov.ph</v>
      </c>
      <c r="H7" s="8" t="str">
        <f t="shared" si="1"/>
        <v>canoy,302726</v>
      </c>
      <c r="I7" t="s">
        <v>14</v>
      </c>
    </row>
    <row r="8" spans="1:11" ht="12.75">
      <c r="A8" s="2">
        <v>5</v>
      </c>
      <c r="B8" s="7" t="s">
        <v>550</v>
      </c>
      <c r="C8" s="7" t="s">
        <v>558</v>
      </c>
      <c r="D8" s="7" t="s">
        <v>559</v>
      </c>
      <c r="E8" s="8" t="s">
        <v>560</v>
      </c>
      <c r="F8" s="8">
        <v>117571150005</v>
      </c>
      <c r="G8" s="7" t="str">
        <f t="shared" si="0"/>
        <v>117571150005@r6-1.deped.gov.ph</v>
      </c>
      <c r="H8" s="8" t="str">
        <f t="shared" si="1"/>
        <v>carabaña,302726</v>
      </c>
      <c r="I8" t="s">
        <v>14</v>
      </c>
    </row>
    <row r="9" spans="1:11" ht="12.75">
      <c r="A9" s="2">
        <v>6</v>
      </c>
      <c r="B9" s="7" t="s">
        <v>550</v>
      </c>
      <c r="C9" s="7" t="s">
        <v>561</v>
      </c>
      <c r="D9" s="7" t="s">
        <v>562</v>
      </c>
      <c r="E9" s="8" t="s">
        <v>120</v>
      </c>
      <c r="F9" s="8">
        <v>117571150086</v>
      </c>
      <c r="G9" s="7" t="str">
        <f t="shared" si="0"/>
        <v>117571150086@r6-1.deped.gov.ph</v>
      </c>
      <c r="H9" s="8" t="str">
        <f t="shared" si="1"/>
        <v>daque,302726</v>
      </c>
      <c r="I9" t="s">
        <v>14</v>
      </c>
    </row>
    <row r="10" spans="1:11" ht="12.75">
      <c r="A10" s="2">
        <v>7</v>
      </c>
      <c r="B10" s="7" t="s">
        <v>550</v>
      </c>
      <c r="C10" s="7" t="s">
        <v>563</v>
      </c>
      <c r="D10" s="7" t="s">
        <v>564</v>
      </c>
      <c r="E10" s="8" t="s">
        <v>20</v>
      </c>
      <c r="F10" s="8">
        <v>117571150067</v>
      </c>
      <c r="G10" s="7" t="str">
        <f t="shared" si="0"/>
        <v>117571150067@r6-1.deped.gov.ph</v>
      </c>
      <c r="H10" s="8" t="str">
        <f t="shared" si="1"/>
        <v>dingson,302726</v>
      </c>
      <c r="I10" t="s">
        <v>14</v>
      </c>
    </row>
    <row r="11" spans="1:11" ht="12.75">
      <c r="A11" s="2">
        <v>8</v>
      </c>
      <c r="B11" s="7" t="s">
        <v>550</v>
      </c>
      <c r="C11" s="7" t="s">
        <v>565</v>
      </c>
      <c r="D11" s="7" t="s">
        <v>566</v>
      </c>
      <c r="E11" s="8" t="s">
        <v>26</v>
      </c>
      <c r="F11" s="8">
        <v>117571150045</v>
      </c>
      <c r="G11" s="7" t="str">
        <f t="shared" si="0"/>
        <v>117571150045@r6-1.deped.gov.ph</v>
      </c>
      <c r="H11" s="8" t="str">
        <f t="shared" si="1"/>
        <v>garganera,302726</v>
      </c>
      <c r="I11" t="s">
        <v>14</v>
      </c>
    </row>
    <row r="12" spans="1:11" ht="12.75">
      <c r="A12" s="2">
        <v>9</v>
      </c>
      <c r="B12" s="7" t="s">
        <v>550</v>
      </c>
      <c r="C12" s="7" t="s">
        <v>567</v>
      </c>
      <c r="D12" s="7" t="s">
        <v>568</v>
      </c>
      <c r="E12" s="8" t="s">
        <v>120</v>
      </c>
      <c r="F12" s="8">
        <v>117574150022</v>
      </c>
      <c r="G12" s="7" t="str">
        <f t="shared" si="0"/>
        <v>117574150022@r6-1.deped.gov.ph</v>
      </c>
      <c r="H12" s="8" t="str">
        <f t="shared" si="1"/>
        <v>magatila,302726</v>
      </c>
      <c r="I12" t="s">
        <v>14</v>
      </c>
    </row>
    <row r="13" spans="1:11" ht="12.75">
      <c r="A13" s="2">
        <v>10</v>
      </c>
      <c r="B13" s="7" t="s">
        <v>550</v>
      </c>
      <c r="C13" s="7" t="s">
        <v>569</v>
      </c>
      <c r="D13" s="7" t="s">
        <v>570</v>
      </c>
      <c r="E13" s="8" t="s">
        <v>83</v>
      </c>
      <c r="F13" s="8">
        <v>117571150070</v>
      </c>
      <c r="G13" s="7" t="str">
        <f t="shared" si="0"/>
        <v>117571150070@r6-1.deped.gov.ph</v>
      </c>
      <c r="H13" s="8" t="str">
        <f t="shared" si="1"/>
        <v>pontino,302726</v>
      </c>
      <c r="I13" t="s">
        <v>14</v>
      </c>
    </row>
    <row r="14" spans="1:11" ht="12.75">
      <c r="A14" s="2">
        <v>11</v>
      </c>
      <c r="B14" s="7" t="s">
        <v>550</v>
      </c>
      <c r="C14" s="7" t="s">
        <v>571</v>
      </c>
      <c r="D14" s="7" t="s">
        <v>572</v>
      </c>
      <c r="E14" s="8" t="s">
        <v>13</v>
      </c>
      <c r="F14" s="8">
        <v>117571150052</v>
      </c>
      <c r="G14" s="7" t="str">
        <f t="shared" si="0"/>
        <v>117571150052@r6-1.deped.gov.ph</v>
      </c>
      <c r="H14" s="8" t="str">
        <f t="shared" si="1"/>
        <v>trocio,302726</v>
      </c>
      <c r="I14" t="s">
        <v>14</v>
      </c>
    </row>
    <row r="15" spans="1:11" ht="12.75">
      <c r="A15" s="2">
        <v>12</v>
      </c>
      <c r="B15" s="7" t="s">
        <v>550</v>
      </c>
      <c r="C15" s="7" t="s">
        <v>573</v>
      </c>
      <c r="D15" s="7" t="s">
        <v>574</v>
      </c>
      <c r="E15" s="8" t="s">
        <v>86</v>
      </c>
      <c r="F15" s="8">
        <v>117571150012</v>
      </c>
      <c r="G15" s="7" t="str">
        <f t="shared" si="0"/>
        <v>117571150012@r6-1.deped.gov.ph</v>
      </c>
      <c r="H15" s="8" t="str">
        <f t="shared" si="1"/>
        <v>vito,302726</v>
      </c>
      <c r="I15" t="s">
        <v>14</v>
      </c>
    </row>
    <row r="16" spans="1:11" ht="12.75">
      <c r="A16" s="2">
        <v>13</v>
      </c>
      <c r="B16" s="7" t="s">
        <v>550</v>
      </c>
      <c r="C16" s="7" t="s">
        <v>575</v>
      </c>
      <c r="D16" s="7" t="s">
        <v>576</v>
      </c>
      <c r="E16" s="8" t="s">
        <v>83</v>
      </c>
      <c r="F16" s="8">
        <v>117571150032</v>
      </c>
      <c r="G16" s="7" t="str">
        <f t="shared" si="0"/>
        <v>117571150032@r6-1.deped.gov.ph</v>
      </c>
      <c r="H16" s="8" t="str">
        <f t="shared" si="1"/>
        <v>arroyo,302726</v>
      </c>
      <c r="I16" t="s">
        <v>14</v>
      </c>
    </row>
    <row r="17" spans="1:9" ht="12.75">
      <c r="A17" s="2">
        <v>14</v>
      </c>
      <c r="B17" s="7" t="s">
        <v>550</v>
      </c>
      <c r="C17" s="7" t="s">
        <v>577</v>
      </c>
      <c r="D17" s="7" t="s">
        <v>578</v>
      </c>
      <c r="E17" s="8" t="s">
        <v>39</v>
      </c>
      <c r="F17" s="8">
        <v>441104150003</v>
      </c>
      <c r="G17" s="7" t="str">
        <f t="shared" si="0"/>
        <v>441104150003@r6-1.deped.gov.ph</v>
      </c>
      <c r="H17" s="8" t="str">
        <f t="shared" si="1"/>
        <v>caratao,302726</v>
      </c>
      <c r="I17" t="s">
        <v>14</v>
      </c>
    </row>
    <row r="18" spans="1:9" ht="12.75">
      <c r="A18" s="2">
        <v>15</v>
      </c>
      <c r="B18" s="7" t="s">
        <v>550</v>
      </c>
      <c r="C18" s="7" t="s">
        <v>579</v>
      </c>
      <c r="D18" s="7" t="s">
        <v>580</v>
      </c>
      <c r="E18" s="8" t="s">
        <v>66</v>
      </c>
      <c r="F18" s="8">
        <v>117574150061</v>
      </c>
      <c r="G18" s="7" t="str">
        <f t="shared" si="0"/>
        <v>117574150061@r6-1.deped.gov.ph</v>
      </c>
      <c r="H18" s="8" t="str">
        <f t="shared" si="1"/>
        <v>carrillo,302726</v>
      </c>
      <c r="I18" t="s">
        <v>14</v>
      </c>
    </row>
    <row r="19" spans="1:9" ht="12.75">
      <c r="A19" s="2">
        <v>16</v>
      </c>
      <c r="B19" s="7" t="s">
        <v>550</v>
      </c>
      <c r="C19" s="7" t="s">
        <v>581</v>
      </c>
      <c r="D19" s="7" t="s">
        <v>582</v>
      </c>
      <c r="E19" s="8" t="s">
        <v>13</v>
      </c>
      <c r="F19" s="8">
        <v>117571150073</v>
      </c>
      <c r="G19" s="7" t="str">
        <f t="shared" si="0"/>
        <v>117571150073@r6-1.deped.gov.ph</v>
      </c>
      <c r="H19" s="8" t="str">
        <f t="shared" si="1"/>
        <v>darunday,302726</v>
      </c>
      <c r="I19" t="s">
        <v>14</v>
      </c>
    </row>
    <row r="20" spans="1:9" ht="12.75">
      <c r="A20" s="2">
        <v>17</v>
      </c>
      <c r="B20" s="7" t="s">
        <v>550</v>
      </c>
      <c r="C20" s="7" t="s">
        <v>414</v>
      </c>
      <c r="D20" s="7" t="s">
        <v>583</v>
      </c>
      <c r="E20" s="8" t="s">
        <v>207</v>
      </c>
      <c r="F20" s="8">
        <v>441137150050</v>
      </c>
      <c r="G20" s="7" t="str">
        <f t="shared" si="0"/>
        <v>441137150050@r6-1.deped.gov.ph</v>
      </c>
      <c r="H20" s="8" t="str">
        <f t="shared" si="1"/>
        <v>dinson,302726</v>
      </c>
      <c r="I20" t="s">
        <v>14</v>
      </c>
    </row>
    <row r="21" spans="1:9" ht="12.75">
      <c r="A21" s="2">
        <v>18</v>
      </c>
      <c r="B21" s="7" t="s">
        <v>550</v>
      </c>
      <c r="C21" s="7" t="s">
        <v>584</v>
      </c>
      <c r="D21" s="7" t="s">
        <v>585</v>
      </c>
      <c r="E21" s="8" t="s">
        <v>120</v>
      </c>
      <c r="F21" s="8">
        <v>117571150074</v>
      </c>
      <c r="G21" s="7" t="str">
        <f t="shared" si="0"/>
        <v>117571150074@r6-1.deped.gov.ph</v>
      </c>
      <c r="H21" s="8" t="str">
        <f t="shared" si="1"/>
        <v>doza,302726</v>
      </c>
      <c r="I21" t="s">
        <v>14</v>
      </c>
    </row>
    <row r="22" spans="1:9" ht="12.75">
      <c r="A22" s="2">
        <v>19</v>
      </c>
      <c r="B22" s="7" t="s">
        <v>550</v>
      </c>
      <c r="C22" s="7" t="s">
        <v>586</v>
      </c>
      <c r="D22" s="7" t="s">
        <v>587</v>
      </c>
      <c r="E22" s="8" t="s">
        <v>43</v>
      </c>
      <c r="F22" s="8">
        <v>117571150075</v>
      </c>
      <c r="G22" s="7" t="str">
        <f t="shared" si="0"/>
        <v>117571150075@r6-1.deped.gov.ph</v>
      </c>
      <c r="H22" s="8" t="str">
        <f t="shared" si="1"/>
        <v>inggasca,302726</v>
      </c>
      <c r="I22" t="s">
        <v>14</v>
      </c>
    </row>
    <row r="23" spans="1:9" ht="12.75">
      <c r="A23" s="2">
        <v>20</v>
      </c>
      <c r="B23" s="7" t="s">
        <v>550</v>
      </c>
      <c r="C23" s="7" t="s">
        <v>451</v>
      </c>
      <c r="D23" s="7" t="s">
        <v>588</v>
      </c>
      <c r="E23" s="8" t="s">
        <v>59</v>
      </c>
      <c r="F23" s="8">
        <v>117574150039</v>
      </c>
      <c r="G23" s="7" t="str">
        <f t="shared" si="0"/>
        <v>117574150039@r6-1.deped.gov.ph</v>
      </c>
      <c r="H23" s="8" t="str">
        <f t="shared" si="1"/>
        <v>legarde,302726</v>
      </c>
      <c r="I23" t="s">
        <v>14</v>
      </c>
    </row>
    <row r="24" spans="1:9" ht="12.75">
      <c r="A24" s="2">
        <v>21</v>
      </c>
      <c r="B24" s="7" t="s">
        <v>550</v>
      </c>
      <c r="C24" s="7" t="s">
        <v>40</v>
      </c>
      <c r="D24" s="7" t="s">
        <v>589</v>
      </c>
      <c r="E24" s="8" t="s">
        <v>83</v>
      </c>
      <c r="F24" s="8">
        <v>117574150041</v>
      </c>
      <c r="G24" s="7" t="str">
        <f t="shared" si="0"/>
        <v>117574150041@r6-1.deped.gov.ph</v>
      </c>
      <c r="H24" s="8" t="str">
        <f t="shared" si="1"/>
        <v>magbanua,302726</v>
      </c>
      <c r="I24" t="s">
        <v>14</v>
      </c>
    </row>
    <row r="25" spans="1:9" ht="12.75">
      <c r="A25" s="2">
        <v>22</v>
      </c>
      <c r="B25" s="7" t="s">
        <v>550</v>
      </c>
      <c r="C25" s="7" t="s">
        <v>590</v>
      </c>
      <c r="D25" s="7" t="s">
        <v>591</v>
      </c>
      <c r="E25" s="8" t="s">
        <v>13</v>
      </c>
      <c r="F25" s="8">
        <v>117571150079</v>
      </c>
      <c r="G25" s="7" t="str">
        <f t="shared" si="0"/>
        <v>117571150079@r6-1.deped.gov.ph</v>
      </c>
      <c r="H25" s="8" t="str">
        <f t="shared" si="1"/>
        <v>panday,302726</v>
      </c>
      <c r="I25" t="s">
        <v>14</v>
      </c>
    </row>
    <row r="26" spans="1:9" ht="12.75">
      <c r="A26" s="2">
        <v>23</v>
      </c>
      <c r="B26" s="7" t="s">
        <v>550</v>
      </c>
      <c r="C26" s="7" t="s">
        <v>569</v>
      </c>
      <c r="D26" s="7" t="s">
        <v>592</v>
      </c>
      <c r="E26" s="8" t="s">
        <v>83</v>
      </c>
      <c r="F26" s="8">
        <v>117571150080</v>
      </c>
      <c r="G26" s="7" t="str">
        <f t="shared" si="0"/>
        <v>117571150080@r6-1.deped.gov.ph</v>
      </c>
      <c r="H26" s="8" t="str">
        <f t="shared" si="1"/>
        <v>pontino,302726</v>
      </c>
      <c r="I26" t="s">
        <v>14</v>
      </c>
    </row>
    <row r="27" spans="1:9" ht="12.75">
      <c r="A27" s="2">
        <v>24</v>
      </c>
      <c r="B27" s="7" t="s">
        <v>550</v>
      </c>
      <c r="C27" s="7" t="s">
        <v>593</v>
      </c>
      <c r="D27" s="7" t="s">
        <v>594</v>
      </c>
      <c r="E27" s="8" t="s">
        <v>39</v>
      </c>
      <c r="F27" s="8">
        <v>117571150038</v>
      </c>
      <c r="G27" s="7" t="str">
        <f t="shared" si="0"/>
        <v>117571150038@r6-1.deped.gov.ph</v>
      </c>
      <c r="H27" s="8" t="str">
        <f t="shared" si="1"/>
        <v>premenggan,302726</v>
      </c>
      <c r="I27" t="s">
        <v>14</v>
      </c>
    </row>
    <row r="28" spans="1:9" ht="12.75">
      <c r="A28" s="2">
        <v>25</v>
      </c>
      <c r="B28" s="7" t="s">
        <v>550</v>
      </c>
      <c r="C28" s="7" t="s">
        <v>595</v>
      </c>
      <c r="D28" s="7" t="s">
        <v>596</v>
      </c>
      <c r="E28" s="8" t="s">
        <v>71</v>
      </c>
      <c r="F28" s="8">
        <v>117571150039</v>
      </c>
      <c r="G28" s="7" t="str">
        <f t="shared" si="0"/>
        <v>117571150039@r6-1.deped.gov.ph</v>
      </c>
      <c r="H28" s="8" t="str">
        <f t="shared" si="1"/>
        <v>serapino,302726</v>
      </c>
      <c r="I28" t="s">
        <v>14</v>
      </c>
    </row>
    <row r="29" spans="1:9" ht="12.75">
      <c r="A29" s="2">
        <v>26</v>
      </c>
      <c r="B29" s="7" t="s">
        <v>550</v>
      </c>
      <c r="C29" s="7" t="s">
        <v>597</v>
      </c>
      <c r="D29" s="7" t="s">
        <v>598</v>
      </c>
      <c r="E29" s="8" t="s">
        <v>34</v>
      </c>
      <c r="F29" s="8">
        <v>117571150040</v>
      </c>
      <c r="G29" s="7" t="str">
        <f t="shared" si="0"/>
        <v>117571150040@r6-1.deped.gov.ph</v>
      </c>
      <c r="H29" s="8" t="str">
        <f t="shared" si="1"/>
        <v>sulmayor,302726</v>
      </c>
      <c r="I29" t="s">
        <v>14</v>
      </c>
    </row>
    <row r="30" spans="1:9" ht="12.75">
      <c r="A30" s="2">
        <v>27</v>
      </c>
      <c r="B30" s="7" t="s">
        <v>550</v>
      </c>
      <c r="C30" s="7" t="s">
        <v>599</v>
      </c>
      <c r="D30" s="7" t="s">
        <v>600</v>
      </c>
      <c r="E30" s="8" t="s">
        <v>59</v>
      </c>
      <c r="F30" s="8">
        <v>117571150020</v>
      </c>
      <c r="G30" s="7" t="str">
        <f t="shared" si="0"/>
        <v>117571150020@r6-1.deped.gov.ph</v>
      </c>
      <c r="H30" s="8" t="str">
        <f t="shared" si="1"/>
        <v>tulod,302726</v>
      </c>
      <c r="I30" t="s">
        <v>14</v>
      </c>
    </row>
    <row r="31" spans="1:9" ht="12.75">
      <c r="A31" s="2">
        <v>28</v>
      </c>
      <c r="B31" s="7" t="s">
        <v>550</v>
      </c>
      <c r="C31" s="7" t="s">
        <v>601</v>
      </c>
      <c r="D31" s="7" t="s">
        <v>602</v>
      </c>
      <c r="E31" s="8" t="s">
        <v>20</v>
      </c>
      <c r="F31" s="8">
        <v>117571150084</v>
      </c>
      <c r="G31" s="7" t="str">
        <f t="shared" si="0"/>
        <v>117571150084@r6-1.deped.gov.ph</v>
      </c>
      <c r="H31" s="8" t="str">
        <f t="shared" si="1"/>
        <v>vidal,302726</v>
      </c>
      <c r="I31" t="s">
        <v>14</v>
      </c>
    </row>
    <row r="32" spans="1:9" ht="12.75">
      <c r="A32" s="2">
        <v>29</v>
      </c>
      <c r="B32" s="7" t="s">
        <v>603</v>
      </c>
      <c r="C32" s="7" t="s">
        <v>604</v>
      </c>
      <c r="D32" s="7" t="s">
        <v>605</v>
      </c>
      <c r="E32" s="8" t="s">
        <v>34</v>
      </c>
      <c r="F32" s="8">
        <v>117571150022</v>
      </c>
      <c r="G32" s="7" t="str">
        <f t="shared" si="0"/>
        <v>117571150022@r6-1.deped.gov.ph</v>
      </c>
      <c r="H32" s="8" t="str">
        <f t="shared" si="1"/>
        <v>alboro,302726</v>
      </c>
      <c r="I32" t="s">
        <v>14</v>
      </c>
    </row>
    <row r="33" spans="1:9" ht="12.75">
      <c r="A33" s="2">
        <v>30</v>
      </c>
      <c r="B33" s="7" t="s">
        <v>603</v>
      </c>
      <c r="C33" s="7" t="s">
        <v>606</v>
      </c>
      <c r="D33" s="7" t="s">
        <v>607</v>
      </c>
      <c r="E33" s="8" t="s">
        <v>34</v>
      </c>
      <c r="F33" s="8">
        <v>117571150042</v>
      </c>
      <c r="G33" s="7" t="str">
        <f t="shared" si="0"/>
        <v>117571150042@r6-1.deped.gov.ph</v>
      </c>
      <c r="H33" s="8" t="str">
        <f t="shared" si="1"/>
        <v>arellano,302726</v>
      </c>
      <c r="I33" t="s">
        <v>14</v>
      </c>
    </row>
    <row r="34" spans="1:9" ht="12.75">
      <c r="A34" s="2">
        <v>31</v>
      </c>
      <c r="B34" s="7" t="s">
        <v>603</v>
      </c>
      <c r="C34" s="7" t="s">
        <v>608</v>
      </c>
      <c r="D34" s="7" t="s">
        <v>609</v>
      </c>
      <c r="E34" s="8" t="s">
        <v>86</v>
      </c>
      <c r="F34" s="8">
        <v>117574140002</v>
      </c>
      <c r="G34" s="7" t="str">
        <f t="shared" si="0"/>
        <v>117574140002@r6-1.deped.gov.ph</v>
      </c>
      <c r="H34" s="8" t="str">
        <f t="shared" si="1"/>
        <v>aresgado,302726</v>
      </c>
      <c r="I34" t="s">
        <v>14</v>
      </c>
    </row>
    <row r="35" spans="1:9" ht="12.75">
      <c r="A35" s="2">
        <v>32</v>
      </c>
      <c r="B35" s="7" t="s">
        <v>603</v>
      </c>
      <c r="C35" s="7" t="s">
        <v>558</v>
      </c>
      <c r="D35" s="7" t="s">
        <v>610</v>
      </c>
      <c r="E35" s="8" t="s">
        <v>560</v>
      </c>
      <c r="F35" s="8">
        <v>117571150023</v>
      </c>
      <c r="G35" s="7" t="str">
        <f t="shared" si="0"/>
        <v>117571150023@r6-1.deped.gov.ph</v>
      </c>
      <c r="H35" s="8" t="str">
        <f t="shared" si="1"/>
        <v>carabaña,302726</v>
      </c>
      <c r="I35" t="s">
        <v>14</v>
      </c>
    </row>
    <row r="36" spans="1:9" ht="12.75">
      <c r="A36" s="2">
        <v>33</v>
      </c>
      <c r="B36" s="7" t="s">
        <v>603</v>
      </c>
      <c r="C36" s="7" t="s">
        <v>445</v>
      </c>
      <c r="D36" s="7" t="s">
        <v>187</v>
      </c>
      <c r="E36" s="8" t="s">
        <v>39</v>
      </c>
      <c r="F36" s="8">
        <v>117571150024</v>
      </c>
      <c r="G36" s="7" t="str">
        <f t="shared" si="0"/>
        <v>117571150024@r6-1.deped.gov.ph</v>
      </c>
      <c r="H36" s="8" t="str">
        <f t="shared" si="1"/>
        <v>comawas,302726</v>
      </c>
      <c r="I36" t="s">
        <v>14</v>
      </c>
    </row>
    <row r="37" spans="1:9" ht="12.75">
      <c r="A37" s="2">
        <v>34</v>
      </c>
      <c r="B37" s="7" t="s">
        <v>603</v>
      </c>
      <c r="C37" s="7" t="s">
        <v>611</v>
      </c>
      <c r="D37" s="7" t="s">
        <v>612</v>
      </c>
      <c r="E37" s="8" t="s">
        <v>83</v>
      </c>
      <c r="F37" s="8">
        <v>117574150014</v>
      </c>
      <c r="G37" s="7" t="str">
        <f t="shared" si="0"/>
        <v>117574150014@r6-1.deped.gov.ph</v>
      </c>
      <c r="H37" s="8" t="str">
        <f t="shared" ref="H37:H68" si="2">IF(C37="","",LOWER(C37)&amp;",302726")</f>
        <v>francisco,302726</v>
      </c>
      <c r="I37" t="s">
        <v>14</v>
      </c>
    </row>
    <row r="38" spans="1:9" ht="12.75">
      <c r="A38" s="2">
        <v>35</v>
      </c>
      <c r="B38" s="7" t="s">
        <v>603</v>
      </c>
      <c r="C38" s="7" t="s">
        <v>613</v>
      </c>
      <c r="D38" s="7" t="s">
        <v>614</v>
      </c>
      <c r="E38" s="8" t="s">
        <v>120</v>
      </c>
      <c r="F38" s="8">
        <v>117576140009</v>
      </c>
      <c r="G38" s="7" t="str">
        <f t="shared" si="0"/>
        <v>117576140009@r6-1.deped.gov.ph</v>
      </c>
      <c r="H38" s="8" t="str">
        <f t="shared" si="2"/>
        <v>gilarman,302726</v>
      </c>
      <c r="I38" t="s">
        <v>14</v>
      </c>
    </row>
    <row r="39" spans="1:9" ht="12.75">
      <c r="A39" s="2">
        <v>36</v>
      </c>
      <c r="B39" s="7" t="s">
        <v>603</v>
      </c>
      <c r="C39" s="7" t="s">
        <v>567</v>
      </c>
      <c r="D39" s="7" t="s">
        <v>615</v>
      </c>
      <c r="E39" s="8" t="s">
        <v>616</v>
      </c>
      <c r="F39" s="8">
        <v>117571140038</v>
      </c>
      <c r="G39" s="7" t="str">
        <f t="shared" si="0"/>
        <v>117571140038@r6-1.deped.gov.ph</v>
      </c>
      <c r="H39" s="8" t="str">
        <f t="shared" si="2"/>
        <v>magatila,302726</v>
      </c>
      <c r="I39" t="s">
        <v>14</v>
      </c>
    </row>
    <row r="40" spans="1:9" ht="12.75">
      <c r="A40" s="2">
        <v>37</v>
      </c>
      <c r="B40" s="7" t="s">
        <v>603</v>
      </c>
      <c r="C40" s="7" t="s">
        <v>389</v>
      </c>
      <c r="D40" s="7" t="s">
        <v>617</v>
      </c>
      <c r="E40" s="8" t="s">
        <v>83</v>
      </c>
      <c r="F40" s="8">
        <v>116018150005</v>
      </c>
      <c r="G40" s="7" t="str">
        <f t="shared" si="0"/>
        <v>116018150005@r6-1.deped.gov.ph</v>
      </c>
      <c r="H40" s="8" t="str">
        <f t="shared" si="2"/>
        <v>mahinay,302726</v>
      </c>
      <c r="I40" t="s">
        <v>46</v>
      </c>
    </row>
    <row r="41" spans="1:9" ht="12.75">
      <c r="A41" s="2">
        <v>38</v>
      </c>
      <c r="B41" s="7" t="s">
        <v>603</v>
      </c>
      <c r="C41" s="7" t="s">
        <v>279</v>
      </c>
      <c r="D41" s="7" t="s">
        <v>618</v>
      </c>
      <c r="E41" s="8" t="s">
        <v>120</v>
      </c>
      <c r="F41" s="8">
        <v>117571150049</v>
      </c>
      <c r="G41" s="7" t="str">
        <f t="shared" si="0"/>
        <v>117571150049@r6-1.deped.gov.ph</v>
      </c>
      <c r="H41" s="8" t="str">
        <f t="shared" si="2"/>
        <v>parochel,302726</v>
      </c>
      <c r="I41" t="s">
        <v>14</v>
      </c>
    </row>
    <row r="42" spans="1:9" ht="12.75">
      <c r="A42" s="2">
        <v>39</v>
      </c>
      <c r="B42" s="7" t="s">
        <v>603</v>
      </c>
      <c r="C42" s="7" t="s">
        <v>619</v>
      </c>
      <c r="D42" s="7" t="s">
        <v>620</v>
      </c>
      <c r="E42" s="8" t="s">
        <v>13</v>
      </c>
      <c r="F42" s="8">
        <v>117571150028</v>
      </c>
      <c r="G42" s="7" t="str">
        <f t="shared" si="0"/>
        <v>117571150028@r6-1.deped.gov.ph</v>
      </c>
      <c r="H42" s="8" t="str">
        <f t="shared" si="2"/>
        <v>sales,302726</v>
      </c>
      <c r="I42" t="s">
        <v>14</v>
      </c>
    </row>
    <row r="43" spans="1:9" ht="12.75">
      <c r="A43" s="2">
        <v>40</v>
      </c>
      <c r="B43" s="7" t="s">
        <v>603</v>
      </c>
      <c r="C43" s="7" t="s">
        <v>621</v>
      </c>
      <c r="D43" s="7" t="s">
        <v>622</v>
      </c>
      <c r="E43" s="8" t="s">
        <v>120</v>
      </c>
      <c r="F43" s="8">
        <v>117109150015</v>
      </c>
      <c r="G43" s="7" t="str">
        <f t="shared" si="0"/>
        <v>117109150015@r6-1.deped.gov.ph</v>
      </c>
      <c r="H43" s="8" t="str">
        <f t="shared" si="2"/>
        <v>sara,302726</v>
      </c>
      <c r="I43" t="s">
        <v>14</v>
      </c>
    </row>
    <row r="44" spans="1:9" ht="12.75">
      <c r="A44" s="2">
        <v>41</v>
      </c>
      <c r="B44" s="7" t="s">
        <v>603</v>
      </c>
      <c r="C44" s="7" t="s">
        <v>623</v>
      </c>
      <c r="D44" s="7" t="s">
        <v>435</v>
      </c>
      <c r="E44" s="8" t="s">
        <v>624</v>
      </c>
      <c r="F44" s="8">
        <v>117576140012</v>
      </c>
      <c r="G44" s="7" t="str">
        <f t="shared" si="0"/>
        <v>117576140012@r6-1.deped.gov.ph</v>
      </c>
      <c r="H44" s="8" t="str">
        <f t="shared" si="2"/>
        <v>satinitigan,302726</v>
      </c>
      <c r="I44" t="s">
        <v>14</v>
      </c>
    </row>
    <row r="45" spans="1:9" ht="12.75">
      <c r="A45" s="2">
        <v>42</v>
      </c>
      <c r="B45" s="7" t="s">
        <v>603</v>
      </c>
      <c r="C45" s="7" t="s">
        <v>625</v>
      </c>
      <c r="D45" s="7" t="s">
        <v>626</v>
      </c>
      <c r="E45" s="8" t="s">
        <v>43</v>
      </c>
      <c r="F45" s="8">
        <v>117571150051</v>
      </c>
      <c r="G45" s="7" t="str">
        <f t="shared" si="0"/>
        <v>117571150051@r6-1.deped.gov.ph</v>
      </c>
      <c r="H45" s="8" t="str">
        <f t="shared" si="2"/>
        <v>senining,302726</v>
      </c>
      <c r="I45" t="s">
        <v>14</v>
      </c>
    </row>
    <row r="46" spans="1:9" ht="12.75">
      <c r="A46" s="2">
        <v>43</v>
      </c>
      <c r="B46" s="7" t="s">
        <v>603</v>
      </c>
      <c r="C46" s="7" t="s">
        <v>595</v>
      </c>
      <c r="D46" s="7" t="s">
        <v>627</v>
      </c>
      <c r="E46" s="8" t="s">
        <v>86</v>
      </c>
      <c r="F46" s="8">
        <v>117576130014</v>
      </c>
      <c r="G46" s="7" t="str">
        <f t="shared" si="0"/>
        <v>117576130014@r6-1.deped.gov.ph</v>
      </c>
      <c r="H46" s="8" t="str">
        <f t="shared" si="2"/>
        <v>serapino,302726</v>
      </c>
      <c r="I46" t="s">
        <v>14</v>
      </c>
    </row>
    <row r="47" spans="1:9" ht="12.75">
      <c r="A47" s="2">
        <v>44</v>
      </c>
      <c r="B47" s="7" t="s">
        <v>603</v>
      </c>
      <c r="C47" s="7" t="s">
        <v>628</v>
      </c>
      <c r="D47" s="7" t="s">
        <v>629</v>
      </c>
      <c r="E47" s="8" t="s">
        <v>39</v>
      </c>
      <c r="F47" s="8">
        <v>117721150166</v>
      </c>
      <c r="G47" s="7" t="str">
        <f t="shared" si="0"/>
        <v>117721150166@r6-1.deped.gov.ph</v>
      </c>
      <c r="H47" s="8" t="str">
        <f t="shared" si="2"/>
        <v>sinco,302726</v>
      </c>
      <c r="I47" t="s">
        <v>14</v>
      </c>
    </row>
    <row r="48" spans="1:9" ht="12.75">
      <c r="A48" s="2">
        <v>45</v>
      </c>
      <c r="B48" s="7" t="s">
        <v>603</v>
      </c>
      <c r="C48" s="7" t="s">
        <v>630</v>
      </c>
      <c r="D48" s="7" t="s">
        <v>631</v>
      </c>
      <c r="E48" s="8" t="s">
        <v>34</v>
      </c>
      <c r="F48" s="8">
        <v>117571150030</v>
      </c>
      <c r="G48" s="7" t="str">
        <f t="shared" si="0"/>
        <v>117571150030@r6-1.deped.gov.ph</v>
      </c>
      <c r="H48" s="8" t="str">
        <f t="shared" si="2"/>
        <v>templado,302726</v>
      </c>
      <c r="I48" t="s">
        <v>14</v>
      </c>
    </row>
    <row r="49" spans="1:9" ht="12.75">
      <c r="A49" s="2">
        <v>46</v>
      </c>
      <c r="B49" s="7" t="s">
        <v>603</v>
      </c>
      <c r="C49" s="7" t="s">
        <v>630</v>
      </c>
      <c r="D49" s="7" t="s">
        <v>632</v>
      </c>
      <c r="E49" s="8" t="s">
        <v>39</v>
      </c>
      <c r="F49" s="8">
        <v>117571150071</v>
      </c>
      <c r="G49" s="7" t="str">
        <f t="shared" si="0"/>
        <v>117571150071@r6-1.deped.gov.ph</v>
      </c>
      <c r="H49" s="8" t="str">
        <f t="shared" si="2"/>
        <v>templado,302726</v>
      </c>
      <c r="I49" t="s">
        <v>14</v>
      </c>
    </row>
    <row r="50" spans="1:9" ht="12.75">
      <c r="A50" s="2">
        <v>47</v>
      </c>
      <c r="B50" s="7" t="s">
        <v>603</v>
      </c>
      <c r="C50" s="7" t="s">
        <v>633</v>
      </c>
      <c r="D50" s="7" t="s">
        <v>634</v>
      </c>
      <c r="E50" s="8" t="s">
        <v>635</v>
      </c>
      <c r="F50" s="8">
        <v>117571150056</v>
      </c>
      <c r="G50" s="7" t="str">
        <f t="shared" si="0"/>
        <v>117571150056@r6-1.deped.gov.ph</v>
      </c>
      <c r="H50" s="8" t="str">
        <f t="shared" si="2"/>
        <v>badoy,302726</v>
      </c>
      <c r="I50" t="s">
        <v>14</v>
      </c>
    </row>
    <row r="51" spans="1:9" ht="12.75">
      <c r="A51" s="2">
        <v>48</v>
      </c>
      <c r="B51" s="7" t="s">
        <v>603</v>
      </c>
      <c r="C51" s="7" t="s">
        <v>636</v>
      </c>
      <c r="D51" s="7" t="s">
        <v>637</v>
      </c>
      <c r="E51" s="8" t="s">
        <v>59</v>
      </c>
      <c r="F51" s="8">
        <v>117574140050</v>
      </c>
      <c r="G51" s="7" t="str">
        <f t="shared" si="0"/>
        <v>117574140050@r6-1.deped.gov.ph</v>
      </c>
      <c r="H51" s="8" t="str">
        <f t="shared" si="2"/>
        <v>barneso,302726</v>
      </c>
      <c r="I51" t="s">
        <v>14</v>
      </c>
    </row>
    <row r="52" spans="1:9" ht="12.75">
      <c r="A52" s="2">
        <v>49</v>
      </c>
      <c r="B52" s="7" t="s">
        <v>603</v>
      </c>
      <c r="C52" s="7" t="s">
        <v>638</v>
      </c>
      <c r="D52" s="7" t="s">
        <v>639</v>
      </c>
      <c r="E52" s="8" t="s">
        <v>13</v>
      </c>
      <c r="F52" s="8">
        <v>117698150042</v>
      </c>
      <c r="G52" s="7" t="str">
        <f t="shared" si="0"/>
        <v>117698150042@r6-1.deped.gov.ph</v>
      </c>
      <c r="H52" s="8" t="str">
        <f t="shared" si="2"/>
        <v>caranzo,302726</v>
      </c>
      <c r="I52" t="s">
        <v>14</v>
      </c>
    </row>
    <row r="53" spans="1:9" ht="12.75">
      <c r="A53" s="2">
        <v>50</v>
      </c>
      <c r="B53" s="7" t="s">
        <v>603</v>
      </c>
      <c r="C53" s="7" t="s">
        <v>640</v>
      </c>
      <c r="D53" s="7" t="s">
        <v>641</v>
      </c>
      <c r="E53" s="8" t="s">
        <v>635</v>
      </c>
      <c r="F53" s="8">
        <v>104922140213</v>
      </c>
      <c r="G53" s="7" t="str">
        <f t="shared" si="0"/>
        <v>104922140213@r6-1.deped.gov.ph</v>
      </c>
      <c r="H53" s="8" t="str">
        <f t="shared" si="2"/>
        <v>david,302726</v>
      </c>
      <c r="I53" t="s">
        <v>14</v>
      </c>
    </row>
    <row r="54" spans="1:9" ht="12.75">
      <c r="A54" s="2">
        <v>51</v>
      </c>
      <c r="B54" s="7" t="s">
        <v>603</v>
      </c>
      <c r="C54" s="7" t="s">
        <v>640</v>
      </c>
      <c r="D54" s="7" t="s">
        <v>642</v>
      </c>
      <c r="E54" s="8" t="s">
        <v>635</v>
      </c>
      <c r="F54" s="8">
        <v>104922140212</v>
      </c>
      <c r="G54" s="7" t="str">
        <f t="shared" si="0"/>
        <v>104922140212@r6-1.deped.gov.ph</v>
      </c>
      <c r="H54" s="8" t="str">
        <f t="shared" si="2"/>
        <v>david,302726</v>
      </c>
      <c r="I54" t="s">
        <v>14</v>
      </c>
    </row>
    <row r="55" spans="1:9" ht="12.75">
      <c r="A55" s="2">
        <v>52</v>
      </c>
      <c r="B55" s="7" t="s">
        <v>603</v>
      </c>
      <c r="C55" s="7" t="s">
        <v>316</v>
      </c>
      <c r="D55" s="7" t="s">
        <v>643</v>
      </c>
      <c r="E55" s="8" t="s">
        <v>66</v>
      </c>
      <c r="F55" s="8">
        <v>117576140014</v>
      </c>
      <c r="G55" s="7" t="str">
        <f t="shared" si="0"/>
        <v>117576140014@r6-1.deped.gov.ph</v>
      </c>
      <c r="H55" s="8" t="str">
        <f t="shared" si="2"/>
        <v>dela peña,302726</v>
      </c>
      <c r="I55" t="s">
        <v>14</v>
      </c>
    </row>
    <row r="56" spans="1:9" ht="12.75">
      <c r="A56" s="2">
        <v>53</v>
      </c>
      <c r="B56" s="7" t="s">
        <v>603</v>
      </c>
      <c r="C56" s="7" t="s">
        <v>644</v>
      </c>
      <c r="D56" s="7" t="s">
        <v>645</v>
      </c>
      <c r="E56" s="8" t="s">
        <v>31</v>
      </c>
      <c r="F56" s="8">
        <v>117574150067</v>
      </c>
      <c r="G56" s="7" t="str">
        <f t="shared" si="0"/>
        <v>117574150067@r6-1.deped.gov.ph</v>
      </c>
      <c r="H56" s="8" t="str">
        <f t="shared" si="2"/>
        <v>gomez,302726</v>
      </c>
      <c r="I56" t="s">
        <v>14</v>
      </c>
    </row>
    <row r="57" spans="1:9" ht="12.75">
      <c r="A57" s="2">
        <v>54</v>
      </c>
      <c r="B57" s="7" t="s">
        <v>603</v>
      </c>
      <c r="C57" s="7" t="s">
        <v>646</v>
      </c>
      <c r="D57" s="7" t="s">
        <v>647</v>
      </c>
      <c r="E57" s="8" t="s">
        <v>36</v>
      </c>
      <c r="F57" s="8">
        <v>117574150070</v>
      </c>
      <c r="G57" s="7" t="str">
        <f t="shared" si="0"/>
        <v>117574150070@r6-1.deped.gov.ph</v>
      </c>
      <c r="H57" s="8" t="str">
        <f t="shared" si="2"/>
        <v>hamine,302726</v>
      </c>
      <c r="I57" t="s">
        <v>14</v>
      </c>
    </row>
    <row r="58" spans="1:9" ht="12.75">
      <c r="A58" s="2">
        <v>55</v>
      </c>
      <c r="B58" s="7" t="s">
        <v>603</v>
      </c>
      <c r="C58" s="7" t="s">
        <v>648</v>
      </c>
      <c r="D58" s="7" t="s">
        <v>649</v>
      </c>
      <c r="E58" s="8" t="s">
        <v>34</v>
      </c>
      <c r="F58" s="8">
        <v>117571150015</v>
      </c>
      <c r="G58" s="7" t="str">
        <f t="shared" si="0"/>
        <v>117571150015@r6-1.deped.gov.ph</v>
      </c>
      <c r="H58" s="8" t="str">
        <f t="shared" si="2"/>
        <v>magalamay,302726</v>
      </c>
      <c r="I58" t="s">
        <v>14</v>
      </c>
    </row>
    <row r="59" spans="1:9" ht="12.75">
      <c r="A59" s="2">
        <v>56</v>
      </c>
      <c r="B59" s="7" t="s">
        <v>603</v>
      </c>
      <c r="C59" s="7" t="s">
        <v>650</v>
      </c>
      <c r="D59" s="7" t="s">
        <v>651</v>
      </c>
      <c r="E59" s="8" t="s">
        <v>26</v>
      </c>
      <c r="F59" s="8">
        <v>117574150075</v>
      </c>
      <c r="G59" s="7" t="str">
        <f t="shared" si="0"/>
        <v>117574150075@r6-1.deped.gov.ph</v>
      </c>
      <c r="H59" s="8" t="str">
        <f t="shared" si="2"/>
        <v>solin,302726</v>
      </c>
      <c r="I59" t="s">
        <v>14</v>
      </c>
    </row>
    <row r="60" spans="1:9" ht="12.75">
      <c r="A60" s="2">
        <v>57</v>
      </c>
      <c r="B60" s="7" t="s">
        <v>652</v>
      </c>
      <c r="C60" s="7" t="s">
        <v>653</v>
      </c>
      <c r="D60" s="7" t="s">
        <v>654</v>
      </c>
      <c r="E60" s="8" t="s">
        <v>39</v>
      </c>
      <c r="F60" s="8">
        <v>117571150002</v>
      </c>
      <c r="G60" s="7" t="str">
        <f t="shared" si="0"/>
        <v>117571150002@r6-1.deped.gov.ph</v>
      </c>
      <c r="H60" s="8" t="str">
        <f t="shared" si="2"/>
        <v>alarde,302726</v>
      </c>
      <c r="I60" t="s">
        <v>14</v>
      </c>
    </row>
    <row r="61" spans="1:9" ht="12.75">
      <c r="A61" s="2">
        <v>58</v>
      </c>
      <c r="B61" s="7" t="s">
        <v>652</v>
      </c>
      <c r="C61" s="7" t="s">
        <v>655</v>
      </c>
      <c r="D61" s="7" t="s">
        <v>656</v>
      </c>
      <c r="E61" s="8" t="s">
        <v>26</v>
      </c>
      <c r="F61" s="8">
        <v>117574140061</v>
      </c>
      <c r="G61" s="7" t="str">
        <f t="shared" si="0"/>
        <v>117574140061@r6-1.deped.gov.ph</v>
      </c>
      <c r="H61" s="8" t="str">
        <f t="shared" si="2"/>
        <v>bantillo,302726</v>
      </c>
      <c r="I61" t="s">
        <v>14</v>
      </c>
    </row>
    <row r="62" spans="1:9" ht="12.75">
      <c r="A62" s="2">
        <v>59</v>
      </c>
      <c r="B62" s="7" t="s">
        <v>652</v>
      </c>
      <c r="C62" s="7" t="s">
        <v>657</v>
      </c>
      <c r="D62" s="7" t="s">
        <v>658</v>
      </c>
      <c r="E62" s="8" t="s">
        <v>34</v>
      </c>
      <c r="F62" s="8">
        <v>117574150010</v>
      </c>
      <c r="G62" s="7" t="str">
        <f t="shared" si="0"/>
        <v>117574150010@r6-1.deped.gov.ph</v>
      </c>
      <c r="H62" s="8" t="str">
        <f t="shared" si="2"/>
        <v>barbon,302726</v>
      </c>
      <c r="I62" t="s">
        <v>14</v>
      </c>
    </row>
    <row r="63" spans="1:9" ht="12.75">
      <c r="A63" s="2">
        <v>60</v>
      </c>
      <c r="B63" s="7" t="s">
        <v>652</v>
      </c>
      <c r="C63" s="7" t="s">
        <v>659</v>
      </c>
      <c r="D63" s="7" t="s">
        <v>660</v>
      </c>
      <c r="E63" s="8" t="s">
        <v>83</v>
      </c>
      <c r="F63" s="8">
        <v>117575150004</v>
      </c>
      <c r="G63" s="7" t="str">
        <f t="shared" si="0"/>
        <v>117575150004@r6-1.deped.gov.ph</v>
      </c>
      <c r="H63" s="8" t="str">
        <f t="shared" si="2"/>
        <v>beira,302726</v>
      </c>
      <c r="I63" t="s">
        <v>46</v>
      </c>
    </row>
    <row r="64" spans="1:9" ht="12.75">
      <c r="A64" s="2">
        <v>61</v>
      </c>
      <c r="B64" s="7" t="s">
        <v>652</v>
      </c>
      <c r="C64" s="7" t="s">
        <v>661</v>
      </c>
      <c r="D64" s="7" t="s">
        <v>662</v>
      </c>
      <c r="E64" s="8" t="s">
        <v>71</v>
      </c>
      <c r="F64" s="8">
        <v>117571150004</v>
      </c>
      <c r="G64" s="7" t="str">
        <f t="shared" si="0"/>
        <v>117571150004@r6-1.deped.gov.ph</v>
      </c>
      <c r="H64" s="8" t="str">
        <f t="shared" si="2"/>
        <v>benasbas,302726</v>
      </c>
      <c r="I64" t="s">
        <v>14</v>
      </c>
    </row>
    <row r="65" spans="1:9" ht="12.75">
      <c r="A65" s="2">
        <v>62</v>
      </c>
      <c r="B65" s="7" t="s">
        <v>652</v>
      </c>
      <c r="C65" s="7" t="s">
        <v>663</v>
      </c>
      <c r="D65" s="7" t="s">
        <v>505</v>
      </c>
      <c r="E65" s="8" t="s">
        <v>34</v>
      </c>
      <c r="F65" s="8">
        <v>117571150006</v>
      </c>
      <c r="G65" s="7" t="str">
        <f t="shared" si="0"/>
        <v>117571150006@r6-1.deped.gov.ph</v>
      </c>
      <c r="H65" s="8" t="str">
        <f t="shared" si="2"/>
        <v>de la cruz,302726</v>
      </c>
      <c r="I65" t="s">
        <v>14</v>
      </c>
    </row>
    <row r="66" spans="1:9" ht="12.75">
      <c r="A66" s="2">
        <v>63</v>
      </c>
      <c r="B66" s="7" t="s">
        <v>652</v>
      </c>
      <c r="C66" s="7" t="s">
        <v>316</v>
      </c>
      <c r="D66" s="7" t="s">
        <v>664</v>
      </c>
      <c r="E66" s="8" t="s">
        <v>616</v>
      </c>
      <c r="F66" s="8">
        <v>117571150007</v>
      </c>
      <c r="G66" s="7" t="str">
        <f t="shared" si="0"/>
        <v>117571150007@r6-1.deped.gov.ph</v>
      </c>
      <c r="H66" s="8" t="str">
        <f t="shared" si="2"/>
        <v>dela peña,302726</v>
      </c>
      <c r="I66" t="s">
        <v>14</v>
      </c>
    </row>
    <row r="67" spans="1:9" ht="12.75">
      <c r="A67" s="2">
        <v>64</v>
      </c>
      <c r="B67" s="7" t="s">
        <v>652</v>
      </c>
      <c r="C67" s="7" t="s">
        <v>563</v>
      </c>
      <c r="D67" s="7" t="s">
        <v>665</v>
      </c>
      <c r="E67" s="8" t="s">
        <v>39</v>
      </c>
      <c r="F67" s="8">
        <v>117574150013</v>
      </c>
      <c r="G67" s="7" t="str">
        <f t="shared" si="0"/>
        <v>117574150013@r6-1.deped.gov.ph</v>
      </c>
      <c r="H67" s="8" t="str">
        <f t="shared" si="2"/>
        <v>dingson,302726</v>
      </c>
      <c r="I67" t="s">
        <v>14</v>
      </c>
    </row>
    <row r="68" spans="1:9" ht="12.75">
      <c r="A68" s="2">
        <v>65</v>
      </c>
      <c r="B68" s="7" t="s">
        <v>652</v>
      </c>
      <c r="C68" s="7" t="s">
        <v>666</v>
      </c>
      <c r="D68" s="7" t="s">
        <v>667</v>
      </c>
      <c r="E68" s="8" t="s">
        <v>59</v>
      </c>
      <c r="F68" s="8">
        <v>117576140008</v>
      </c>
      <c r="G68" s="7" t="str">
        <f t="shared" ref="G68:G86" si="3">IF(F68="","",F68&amp;"@r6-1.deped.gov.ph")</f>
        <v>117576140008@r6-1.deped.gov.ph</v>
      </c>
      <c r="H68" s="8" t="str">
        <f t="shared" si="2"/>
        <v>divinagracia,302726</v>
      </c>
      <c r="I68" t="s">
        <v>14</v>
      </c>
    </row>
    <row r="69" spans="1:9" ht="12.75">
      <c r="A69" s="2">
        <v>66</v>
      </c>
      <c r="B69" s="7" t="s">
        <v>652</v>
      </c>
      <c r="C69" s="7" t="s">
        <v>668</v>
      </c>
      <c r="D69" s="7" t="s">
        <v>669</v>
      </c>
      <c r="E69" s="8" t="s">
        <v>13</v>
      </c>
      <c r="F69" s="8">
        <v>117571150008</v>
      </c>
      <c r="G69" s="7" t="str">
        <f t="shared" si="3"/>
        <v>117571150008@r6-1.deped.gov.ph</v>
      </c>
      <c r="H69" s="8" t="str">
        <f t="shared" ref="H69:H86" si="4">IF(C69="","",LOWER(C69)&amp;",302726")</f>
        <v>jumanguin,302726</v>
      </c>
      <c r="I69" t="s">
        <v>14</v>
      </c>
    </row>
    <row r="70" spans="1:9" ht="12.75">
      <c r="A70" s="2">
        <v>67</v>
      </c>
      <c r="B70" s="7" t="s">
        <v>652</v>
      </c>
      <c r="C70" s="7" t="s">
        <v>670</v>
      </c>
      <c r="D70" s="7" t="s">
        <v>671</v>
      </c>
      <c r="E70" s="8" t="s">
        <v>83</v>
      </c>
      <c r="F70" s="8">
        <v>117571150048</v>
      </c>
      <c r="G70" s="7" t="str">
        <f t="shared" si="3"/>
        <v>117571150048@r6-1.deped.gov.ph</v>
      </c>
      <c r="H70" s="8" t="str">
        <f t="shared" si="4"/>
        <v>juntilla,302726</v>
      </c>
      <c r="I70" t="s">
        <v>14</v>
      </c>
    </row>
    <row r="71" spans="1:9" ht="12.75">
      <c r="A71" s="2">
        <v>68</v>
      </c>
      <c r="B71" s="7" t="s">
        <v>652</v>
      </c>
      <c r="C71" s="7" t="s">
        <v>451</v>
      </c>
      <c r="D71" s="7" t="s">
        <v>672</v>
      </c>
      <c r="E71" s="8" t="s">
        <v>34</v>
      </c>
      <c r="F71" s="8">
        <v>117574150019</v>
      </c>
      <c r="G71" s="7" t="str">
        <f t="shared" si="3"/>
        <v>117574150019@r6-1.deped.gov.ph</v>
      </c>
      <c r="H71" s="8" t="str">
        <f t="shared" si="4"/>
        <v>legarde,302726</v>
      </c>
      <c r="I71" t="s">
        <v>14</v>
      </c>
    </row>
    <row r="72" spans="1:9" ht="12.75">
      <c r="A72" s="2">
        <v>69</v>
      </c>
      <c r="B72" s="7" t="s">
        <v>652</v>
      </c>
      <c r="C72" s="7" t="s">
        <v>673</v>
      </c>
      <c r="D72" s="7" t="s">
        <v>674</v>
      </c>
      <c r="E72" s="8" t="s">
        <v>635</v>
      </c>
      <c r="F72" s="8">
        <v>117574150026</v>
      </c>
      <c r="G72" s="7" t="str">
        <f t="shared" si="3"/>
        <v>117574150026@r6-1.deped.gov.ph</v>
      </c>
      <c r="H72" s="8" t="str">
        <f t="shared" si="4"/>
        <v>neri,302726</v>
      </c>
      <c r="I72" t="s">
        <v>14</v>
      </c>
    </row>
    <row r="73" spans="1:9" ht="12.75">
      <c r="A73" s="2">
        <v>70</v>
      </c>
      <c r="B73" s="7" t="s">
        <v>652</v>
      </c>
      <c r="C73" s="7" t="s">
        <v>675</v>
      </c>
      <c r="D73" s="7" t="s">
        <v>676</v>
      </c>
      <c r="E73" s="8" t="s">
        <v>20</v>
      </c>
      <c r="F73" s="8">
        <v>117574150045</v>
      </c>
      <c r="G73" s="7" t="str">
        <f t="shared" si="3"/>
        <v>117574150045@r6-1.deped.gov.ph</v>
      </c>
      <c r="H73" s="8" t="str">
        <f t="shared" si="4"/>
        <v>nomabos,302726</v>
      </c>
      <c r="I73" t="s">
        <v>14</v>
      </c>
    </row>
    <row r="74" spans="1:9" ht="12.75">
      <c r="A74" s="2">
        <v>71</v>
      </c>
      <c r="B74" s="7" t="s">
        <v>652</v>
      </c>
      <c r="C74" s="7" t="s">
        <v>677</v>
      </c>
      <c r="D74" s="7" t="s">
        <v>678</v>
      </c>
      <c r="E74" s="8" t="s">
        <v>34</v>
      </c>
      <c r="F74" s="8">
        <v>117576140018</v>
      </c>
      <c r="G74" s="7" t="str">
        <f t="shared" si="3"/>
        <v>117576140018@r6-1.deped.gov.ph</v>
      </c>
      <c r="H74" s="8" t="str">
        <f t="shared" si="4"/>
        <v>pestolante,302726</v>
      </c>
      <c r="I74" t="s">
        <v>14</v>
      </c>
    </row>
    <row r="75" spans="1:9" ht="12.75">
      <c r="A75" s="2">
        <v>72</v>
      </c>
      <c r="B75" s="7" t="s">
        <v>652</v>
      </c>
      <c r="C75" s="7" t="s">
        <v>679</v>
      </c>
      <c r="D75" s="7" t="s">
        <v>614</v>
      </c>
      <c r="E75" s="8" t="s">
        <v>76</v>
      </c>
      <c r="F75" s="8">
        <v>117571150011</v>
      </c>
      <c r="G75" s="7" t="str">
        <f t="shared" si="3"/>
        <v>117571150011@r6-1.deped.gov.ph</v>
      </c>
      <c r="H75" s="8" t="str">
        <f t="shared" si="4"/>
        <v>solon,302726</v>
      </c>
      <c r="I75" t="s">
        <v>14</v>
      </c>
    </row>
    <row r="76" spans="1:9" ht="12.75">
      <c r="A76" s="2">
        <v>73</v>
      </c>
      <c r="B76" s="7" t="s">
        <v>652</v>
      </c>
      <c r="C76" s="7" t="s">
        <v>680</v>
      </c>
      <c r="D76" s="7" t="s">
        <v>681</v>
      </c>
      <c r="E76" s="8" t="s">
        <v>34</v>
      </c>
      <c r="F76" s="8">
        <v>117571150053</v>
      </c>
      <c r="G76" s="7" t="str">
        <f t="shared" si="3"/>
        <v>117571150053@r6-1.deped.gov.ph</v>
      </c>
      <c r="H76" s="8" t="str">
        <f t="shared" si="4"/>
        <v>alberio,302726</v>
      </c>
      <c r="I76" t="s">
        <v>14</v>
      </c>
    </row>
    <row r="77" spans="1:9" ht="12.75">
      <c r="A77" s="2">
        <v>74</v>
      </c>
      <c r="B77" s="7" t="s">
        <v>652</v>
      </c>
      <c r="C77" s="7" t="s">
        <v>682</v>
      </c>
      <c r="D77" s="7" t="s">
        <v>683</v>
      </c>
      <c r="E77" s="8" t="s">
        <v>13</v>
      </c>
      <c r="F77" s="8">
        <v>117574150032</v>
      </c>
      <c r="G77" s="7" t="str">
        <f t="shared" si="3"/>
        <v>117574150032@r6-1.deped.gov.ph</v>
      </c>
      <c r="H77" s="8" t="str">
        <f t="shared" si="4"/>
        <v>conserman,302726</v>
      </c>
      <c r="I77" t="s">
        <v>14</v>
      </c>
    </row>
    <row r="78" spans="1:9" ht="12.75">
      <c r="A78" s="2">
        <v>75</v>
      </c>
      <c r="B78" s="7" t="s">
        <v>652</v>
      </c>
      <c r="C78" s="7" t="s">
        <v>682</v>
      </c>
      <c r="D78" s="7" t="s">
        <v>684</v>
      </c>
      <c r="E78" s="8" t="s">
        <v>13</v>
      </c>
      <c r="F78" s="8">
        <v>117574150062</v>
      </c>
      <c r="G78" s="7" t="str">
        <f t="shared" si="3"/>
        <v>117574150062@r6-1.deped.gov.ph</v>
      </c>
      <c r="H78" s="8" t="str">
        <f t="shared" si="4"/>
        <v>conserman,302726</v>
      </c>
      <c r="I78" t="s">
        <v>14</v>
      </c>
    </row>
    <row r="79" spans="1:9" ht="12.75">
      <c r="A79" s="2">
        <v>76</v>
      </c>
      <c r="B79" s="7" t="s">
        <v>652</v>
      </c>
      <c r="C79" s="7" t="s">
        <v>685</v>
      </c>
      <c r="D79" s="7" t="s">
        <v>686</v>
      </c>
      <c r="E79" s="8" t="s">
        <v>13</v>
      </c>
      <c r="F79" s="8">
        <v>117574150004</v>
      </c>
      <c r="G79" s="7" t="str">
        <f t="shared" si="3"/>
        <v>117574150004@r6-1.deped.gov.ph</v>
      </c>
      <c r="H79" s="8" t="str">
        <f t="shared" si="4"/>
        <v>embajador,302726</v>
      </c>
      <c r="I79" t="s">
        <v>14</v>
      </c>
    </row>
    <row r="80" spans="1:9" ht="12.75">
      <c r="A80" s="2">
        <v>77</v>
      </c>
      <c r="B80" s="7" t="s">
        <v>652</v>
      </c>
      <c r="C80" s="7" t="s">
        <v>534</v>
      </c>
      <c r="D80" s="7" t="s">
        <v>687</v>
      </c>
      <c r="E80" s="8" t="s">
        <v>31</v>
      </c>
      <c r="F80" s="8">
        <v>117574150035</v>
      </c>
      <c r="G80" s="7" t="str">
        <f t="shared" si="3"/>
        <v>117574150035@r6-1.deped.gov.ph</v>
      </c>
      <c r="H80" s="8" t="str">
        <f t="shared" si="4"/>
        <v>ferrer,302726</v>
      </c>
      <c r="I80" t="s">
        <v>14</v>
      </c>
    </row>
    <row r="81" spans="1:9" ht="12.75">
      <c r="A81" s="2">
        <v>78</v>
      </c>
      <c r="B81" s="7" t="s">
        <v>652</v>
      </c>
      <c r="C81" s="7" t="s">
        <v>613</v>
      </c>
      <c r="D81" s="7" t="s">
        <v>688</v>
      </c>
      <c r="E81" s="8" t="s">
        <v>120</v>
      </c>
      <c r="F81" s="8">
        <v>117571150035</v>
      </c>
      <c r="G81" s="7" t="str">
        <f t="shared" si="3"/>
        <v>117571150035@r6-1.deped.gov.ph</v>
      </c>
      <c r="H81" s="8" t="str">
        <f t="shared" si="4"/>
        <v>gilarman,302726</v>
      </c>
      <c r="I81" t="s">
        <v>14</v>
      </c>
    </row>
    <row r="82" spans="1:9" ht="12.75">
      <c r="A82" s="2">
        <v>79</v>
      </c>
      <c r="B82" s="7" t="s">
        <v>652</v>
      </c>
      <c r="C82" s="7" t="s">
        <v>689</v>
      </c>
      <c r="D82" s="7" t="s">
        <v>690</v>
      </c>
      <c r="E82" s="8" t="s">
        <v>26</v>
      </c>
      <c r="F82" s="8">
        <v>117751140016</v>
      </c>
      <c r="G82" s="7" t="str">
        <f t="shared" si="3"/>
        <v>117751140016@r6-1.deped.gov.ph</v>
      </c>
      <c r="H82" s="8" t="str">
        <f t="shared" si="4"/>
        <v>nuñez,302726</v>
      </c>
      <c r="I82" t="s">
        <v>14</v>
      </c>
    </row>
    <row r="83" spans="1:9" ht="12.75">
      <c r="A83" s="2">
        <v>80</v>
      </c>
      <c r="B83" s="7" t="s">
        <v>652</v>
      </c>
      <c r="C83" s="7" t="s">
        <v>630</v>
      </c>
      <c r="D83" s="7" t="s">
        <v>691</v>
      </c>
      <c r="E83" s="8" t="s">
        <v>39</v>
      </c>
      <c r="F83" s="8">
        <v>441177150281</v>
      </c>
      <c r="G83" s="7" t="str">
        <f t="shared" si="3"/>
        <v>441177150281@r6-1.deped.gov.ph</v>
      </c>
      <c r="H83" s="8" t="str">
        <f t="shared" si="4"/>
        <v>templado,302726</v>
      </c>
      <c r="I83" t="s">
        <v>14</v>
      </c>
    </row>
    <row r="84" spans="1:9" ht="12.75">
      <c r="A84" s="2">
        <v>81</v>
      </c>
      <c r="B84" s="7" t="s">
        <v>652</v>
      </c>
      <c r="C84" s="7" t="s">
        <v>630</v>
      </c>
      <c r="D84" s="7" t="s">
        <v>692</v>
      </c>
      <c r="E84" s="8" t="s">
        <v>83</v>
      </c>
      <c r="F84" s="8">
        <v>117571150018</v>
      </c>
      <c r="G84" s="7" t="str">
        <f t="shared" si="3"/>
        <v>117571150018@r6-1.deped.gov.ph</v>
      </c>
      <c r="H84" s="8" t="str">
        <f t="shared" si="4"/>
        <v>templado,302726</v>
      </c>
      <c r="I84" t="s">
        <v>14</v>
      </c>
    </row>
    <row r="85" spans="1:9" ht="12.75">
      <c r="A85" s="2">
        <v>82</v>
      </c>
      <c r="B85" s="7" t="s">
        <v>652</v>
      </c>
      <c r="C85" s="7" t="s">
        <v>693</v>
      </c>
      <c r="D85" s="7" t="s">
        <v>694</v>
      </c>
      <c r="E85" s="8" t="s">
        <v>23</v>
      </c>
      <c r="F85" s="8">
        <v>117571150041</v>
      </c>
      <c r="G85" s="7" t="str">
        <f t="shared" si="3"/>
        <v>117571150041@r6-1.deped.gov.ph</v>
      </c>
      <c r="H85" s="8" t="str">
        <f t="shared" si="4"/>
        <v>tion,302726</v>
      </c>
      <c r="I85" t="s">
        <v>14</v>
      </c>
    </row>
    <row r="86" spans="1:9" ht="12.75">
      <c r="A86" s="2">
        <v>83</v>
      </c>
      <c r="B86" s="7" t="s">
        <v>652</v>
      </c>
      <c r="C86" s="7" t="s">
        <v>695</v>
      </c>
      <c r="D86" s="7" t="s">
        <v>696</v>
      </c>
      <c r="E86" s="8" t="s">
        <v>43</v>
      </c>
      <c r="F86" s="8">
        <v>120321150037</v>
      </c>
      <c r="G86" s="7" t="str">
        <f t="shared" si="3"/>
        <v>120321150037@r6-1.deped.gov.ph</v>
      </c>
      <c r="H86" s="8" t="str">
        <f t="shared" si="4"/>
        <v>veran,302726</v>
      </c>
      <c r="I86" t="s">
        <v>14</v>
      </c>
    </row>
    <row r="87" spans="1:9" ht="12.75">
      <c r="A87" s="2">
        <v>84</v>
      </c>
      <c r="B87" s="7"/>
      <c r="C87" s="7"/>
      <c r="D87" s="7"/>
      <c r="E87" s="8"/>
      <c r="F87" s="8"/>
      <c r="G87" s="7" t="str">
        <f t="shared" ref="G87:G341" si="5">IF(F87="","",F87&amp;"@r6-1.deped.gov.ph")</f>
        <v/>
      </c>
      <c r="H87" s="8"/>
    </row>
    <row r="88" spans="1:9" ht="12.75">
      <c r="A88" s="2">
        <v>85</v>
      </c>
      <c r="B88" s="7"/>
      <c r="C88" s="7"/>
      <c r="D88" s="7"/>
      <c r="E88" s="8"/>
      <c r="F88" s="8"/>
      <c r="G88" s="7" t="str">
        <f t="shared" si="5"/>
        <v/>
      </c>
      <c r="H88" s="8"/>
    </row>
    <row r="89" spans="1:9" ht="12.75">
      <c r="A89" s="2">
        <v>86</v>
      </c>
      <c r="B89" s="7"/>
      <c r="C89" s="7"/>
      <c r="D89" s="7"/>
      <c r="E89" s="8"/>
      <c r="F89" s="8"/>
      <c r="G89" s="7" t="str">
        <f t="shared" si="5"/>
        <v/>
      </c>
      <c r="H89" s="8"/>
    </row>
    <row r="90" spans="1:9" ht="12.75">
      <c r="A90" s="2">
        <v>87</v>
      </c>
      <c r="B90" s="7"/>
      <c r="C90" s="7"/>
      <c r="D90" s="7"/>
      <c r="E90" s="8"/>
      <c r="F90" s="8"/>
      <c r="G90" s="7" t="str">
        <f t="shared" si="5"/>
        <v/>
      </c>
      <c r="H90" s="8"/>
    </row>
    <row r="91" spans="1:9" ht="12.75">
      <c r="A91" s="2">
        <v>88</v>
      </c>
      <c r="B91" s="7"/>
      <c r="C91" s="7"/>
      <c r="D91" s="7"/>
      <c r="E91" s="8"/>
      <c r="F91" s="8"/>
      <c r="G91" s="7" t="str">
        <f t="shared" si="5"/>
        <v/>
      </c>
      <c r="H91" s="8"/>
    </row>
    <row r="92" spans="1:9" ht="12.75">
      <c r="A92" s="2">
        <v>89</v>
      </c>
      <c r="B92" s="7"/>
      <c r="C92" s="7"/>
      <c r="D92" s="7"/>
      <c r="E92" s="8"/>
      <c r="F92" s="8"/>
      <c r="G92" s="7" t="str">
        <f t="shared" si="5"/>
        <v/>
      </c>
      <c r="H92" s="8"/>
    </row>
    <row r="93" spans="1:9" ht="12.75">
      <c r="A93" s="2">
        <v>90</v>
      </c>
      <c r="B93" s="7"/>
      <c r="C93" s="7"/>
      <c r="D93" s="7"/>
      <c r="E93" s="8"/>
      <c r="F93" s="8"/>
      <c r="G93" s="7" t="str">
        <f t="shared" si="5"/>
        <v/>
      </c>
      <c r="H93" s="8"/>
    </row>
    <row r="94" spans="1:9" ht="12.75">
      <c r="A94" s="2">
        <v>91</v>
      </c>
      <c r="B94" s="7"/>
      <c r="C94" s="7"/>
      <c r="D94" s="7"/>
      <c r="E94" s="8"/>
      <c r="F94" s="8"/>
      <c r="G94" s="7" t="str">
        <f t="shared" si="5"/>
        <v/>
      </c>
      <c r="H94" s="8"/>
    </row>
    <row r="95" spans="1:9" ht="12.75">
      <c r="A95" s="2">
        <v>92</v>
      </c>
      <c r="B95" s="7"/>
      <c r="C95" s="7"/>
      <c r="D95" s="7"/>
      <c r="E95" s="8"/>
      <c r="F95" s="8"/>
      <c r="G95" s="7" t="str">
        <f t="shared" si="5"/>
        <v/>
      </c>
      <c r="H95" s="8"/>
    </row>
    <row r="96" spans="1:9" ht="12.75">
      <c r="A96" s="2">
        <v>93</v>
      </c>
      <c r="B96" s="7"/>
      <c r="C96" s="7"/>
      <c r="D96" s="7"/>
      <c r="E96" s="8"/>
      <c r="F96" s="8"/>
      <c r="G96" s="7" t="str">
        <f t="shared" si="5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5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5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5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5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5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5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5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5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5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5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5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5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5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5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5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5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5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5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5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5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5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5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5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5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5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5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5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5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5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5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5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5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5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5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5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5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5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5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5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5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5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5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5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5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5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5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5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5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5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5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5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5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5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5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5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5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5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5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5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5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5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5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5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5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5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5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5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5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5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5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5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5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5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5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5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5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5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5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5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5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5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5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5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5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5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5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5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5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5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5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5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5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5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5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5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5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5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5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5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5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5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5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5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5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5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5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5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5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5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5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5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5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5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5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5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5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5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5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5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5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5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5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5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5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5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5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5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5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5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5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5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5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5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5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5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5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5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5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5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5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5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5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5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5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5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5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5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5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5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5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5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5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5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5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5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5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5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5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5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5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5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5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5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5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5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5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5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5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5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5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5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5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5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5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5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5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5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5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5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5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5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5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5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5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5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5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5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5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5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5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5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5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5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5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5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5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5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5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5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5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5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5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5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5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5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5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5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5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5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5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5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5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5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5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5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5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5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5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5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5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5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5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5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5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5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5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5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5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5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5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5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5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5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5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5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5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5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5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5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5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5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5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5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5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5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ref="G342:G503" si="6">IF(F342="","",F342&amp;"@r6-1.deped.gov.ph")</f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6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6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6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6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6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6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6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6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6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6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6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6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6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6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6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6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6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6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6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6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6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6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6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6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6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6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6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6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6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6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6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6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6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6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6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6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6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6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6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6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6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6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6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6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6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6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6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6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6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6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6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6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6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6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6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6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6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6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6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6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6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6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6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6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6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6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6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6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6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6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6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6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6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6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6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6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6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6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6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6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6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6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6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6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6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6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6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6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6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6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6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6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6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6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6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6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6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6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6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6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6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6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6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6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6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6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6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6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6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6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6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6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6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6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6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6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6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6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6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6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6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6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6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6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6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6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6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6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6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6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6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6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6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6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6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6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6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6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6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6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6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6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6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6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6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6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6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6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6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6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6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6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6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6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6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6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6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6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6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6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6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2"/>
  <sheetViews>
    <sheetView topLeftCell="G1" workbookViewId="0">
      <pane ySplit="3" topLeftCell="A260" activePane="bottomLeft" state="frozen"/>
      <selection pane="bottomLeft" activeCell="H275" sqref="H27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697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4.25">
      <c r="A4" s="2">
        <v>1</v>
      </c>
      <c r="B4" s="8" t="s">
        <v>698</v>
      </c>
      <c r="C4" s="31" t="s">
        <v>699</v>
      </c>
      <c r="D4" s="32" t="s">
        <v>700</v>
      </c>
      <c r="E4" s="33" t="s">
        <v>263</v>
      </c>
      <c r="F4" s="25">
        <v>115931150003</v>
      </c>
      <c r="G4" s="7" t="str">
        <f t="shared" ref="G4:G67" si="0">IF(F4="","",F4&amp;"@r6-1.deped.gov.ph")</f>
        <v>115931150003@r6-1.deped.gov.ph</v>
      </c>
      <c r="H4" s="8" t="str">
        <f>IF(C4="","",LOWER(C4)&amp;",302728")</f>
        <v>ardales,302728</v>
      </c>
      <c r="I4" t="s">
        <v>14</v>
      </c>
    </row>
    <row r="5" spans="1:11" ht="14.25">
      <c r="A5" s="2">
        <v>2</v>
      </c>
      <c r="B5" s="8" t="s">
        <v>698</v>
      </c>
      <c r="C5" s="31" t="s">
        <v>701</v>
      </c>
      <c r="D5" s="31" t="s">
        <v>702</v>
      </c>
      <c r="E5" s="33" t="s">
        <v>231</v>
      </c>
      <c r="F5" s="27">
        <v>117244150049</v>
      </c>
      <c r="G5" s="7" t="str">
        <f t="shared" si="0"/>
        <v>117244150049@r6-1.deped.gov.ph</v>
      </c>
      <c r="H5" s="8" t="str">
        <f t="shared" ref="H5:H67" si="1">IF(C5="","",LOWER(C5)&amp;",302728")</f>
        <v>de asis,302728</v>
      </c>
      <c r="I5" t="s">
        <v>14</v>
      </c>
    </row>
    <row r="6" spans="1:11" ht="14.25">
      <c r="A6" s="2">
        <v>3</v>
      </c>
      <c r="B6" s="8" t="s">
        <v>698</v>
      </c>
      <c r="C6" s="31" t="s">
        <v>316</v>
      </c>
      <c r="D6" s="31" t="s">
        <v>703</v>
      </c>
      <c r="E6" s="33" t="s">
        <v>239</v>
      </c>
      <c r="F6" s="27">
        <v>117575150049</v>
      </c>
      <c r="G6" s="7" t="str">
        <f t="shared" si="0"/>
        <v>117575150049@r6-1.deped.gov.ph</v>
      </c>
      <c r="H6" s="8" t="str">
        <f t="shared" si="1"/>
        <v>dela peña,302728</v>
      </c>
      <c r="I6" t="s">
        <v>14</v>
      </c>
    </row>
    <row r="7" spans="1:11" ht="14.25">
      <c r="A7" s="2">
        <v>4</v>
      </c>
      <c r="B7" s="8" t="s">
        <v>698</v>
      </c>
      <c r="C7" s="31" t="s">
        <v>704</v>
      </c>
      <c r="D7" s="31" t="s">
        <v>164</v>
      </c>
      <c r="E7" s="33" t="s">
        <v>239</v>
      </c>
      <c r="F7" s="27">
        <v>117571160001</v>
      </c>
      <c r="G7" s="7" t="str">
        <f t="shared" si="0"/>
        <v>117571160001@r6-1.deped.gov.ph</v>
      </c>
      <c r="H7" s="8" t="str">
        <f t="shared" si="1"/>
        <v>domo,302728</v>
      </c>
      <c r="I7" t="s">
        <v>14</v>
      </c>
    </row>
    <row r="8" spans="1:11" ht="14.25">
      <c r="A8" s="2">
        <v>5</v>
      </c>
      <c r="B8" s="8" t="s">
        <v>698</v>
      </c>
      <c r="C8" s="31" t="s">
        <v>105</v>
      </c>
      <c r="D8" s="31" t="s">
        <v>705</v>
      </c>
      <c r="E8" s="33" t="s">
        <v>255</v>
      </c>
      <c r="F8" s="27">
        <v>117573150031</v>
      </c>
      <c r="G8" s="7" t="str">
        <f t="shared" si="0"/>
        <v>117573150031@r6-1.deped.gov.ph</v>
      </c>
      <c r="H8" s="8" t="str">
        <f t="shared" si="1"/>
        <v>dorimon,302728</v>
      </c>
      <c r="I8" t="s">
        <v>14</v>
      </c>
    </row>
    <row r="9" spans="1:11" ht="14.25">
      <c r="A9" s="2">
        <v>6</v>
      </c>
      <c r="B9" s="8" t="s">
        <v>698</v>
      </c>
      <c r="C9" s="31" t="s">
        <v>706</v>
      </c>
      <c r="D9" s="32" t="s">
        <v>707</v>
      </c>
      <c r="E9" s="33"/>
      <c r="F9" s="27">
        <v>117570150060</v>
      </c>
      <c r="G9" s="7" t="str">
        <f t="shared" si="0"/>
        <v>117570150060@r6-1.deped.gov.ph</v>
      </c>
      <c r="H9" s="8" t="str">
        <f t="shared" si="1"/>
        <v>julian,302728</v>
      </c>
      <c r="I9" t="s">
        <v>14</v>
      </c>
    </row>
    <row r="10" spans="1:11" ht="14.25">
      <c r="A10" s="2">
        <v>7</v>
      </c>
      <c r="B10" s="8" t="s">
        <v>698</v>
      </c>
      <c r="C10" s="31" t="s">
        <v>708</v>
      </c>
      <c r="D10" s="31" t="s">
        <v>709</v>
      </c>
      <c r="E10" s="33" t="s">
        <v>231</v>
      </c>
      <c r="F10" s="27">
        <v>117573150047</v>
      </c>
      <c r="G10" s="7" t="str">
        <f t="shared" si="0"/>
        <v>117573150047@r6-1.deped.gov.ph</v>
      </c>
      <c r="H10" s="8" t="str">
        <f t="shared" si="1"/>
        <v>navarro,302728</v>
      </c>
      <c r="I10" t="s">
        <v>14</v>
      </c>
    </row>
    <row r="11" spans="1:11" ht="14.25">
      <c r="A11" s="2">
        <v>8</v>
      </c>
      <c r="B11" s="8" t="s">
        <v>698</v>
      </c>
      <c r="C11" s="31" t="s">
        <v>710</v>
      </c>
      <c r="D11" s="31" t="s">
        <v>711</v>
      </c>
      <c r="E11" s="33" t="s">
        <v>263</v>
      </c>
      <c r="F11" s="27">
        <v>117565150006</v>
      </c>
      <c r="G11" s="7" t="str">
        <f t="shared" si="0"/>
        <v>117565150006@r6-1.deped.gov.ph</v>
      </c>
      <c r="H11" s="8" t="str">
        <f t="shared" si="1"/>
        <v>oreta,302728</v>
      </c>
      <c r="I11" t="s">
        <v>14</v>
      </c>
    </row>
    <row r="12" spans="1:11" ht="14.25">
      <c r="A12" s="2">
        <v>9</v>
      </c>
      <c r="B12" s="8" t="s">
        <v>698</v>
      </c>
      <c r="C12" s="31" t="s">
        <v>712</v>
      </c>
      <c r="D12" s="31" t="s">
        <v>713</v>
      </c>
      <c r="E12" s="33" t="s">
        <v>239</v>
      </c>
      <c r="F12" s="27">
        <v>117567150037</v>
      </c>
      <c r="G12" s="7" t="str">
        <f t="shared" si="0"/>
        <v>117567150037@r6-1.deped.gov.ph</v>
      </c>
      <c r="H12" s="8" t="str">
        <f t="shared" si="1"/>
        <v>pastorillo,302728</v>
      </c>
      <c r="I12" t="s">
        <v>14</v>
      </c>
    </row>
    <row r="13" spans="1:11" ht="14.25">
      <c r="A13" s="2">
        <v>10</v>
      </c>
      <c r="B13" s="8" t="s">
        <v>698</v>
      </c>
      <c r="C13" s="31" t="s">
        <v>714</v>
      </c>
      <c r="D13" s="31" t="s">
        <v>715</v>
      </c>
      <c r="E13" s="33" t="s">
        <v>294</v>
      </c>
      <c r="F13" s="27">
        <v>117573150078</v>
      </c>
      <c r="G13" s="7" t="str">
        <f t="shared" si="0"/>
        <v>117573150078@r6-1.deped.gov.ph</v>
      </c>
      <c r="H13" s="8" t="str">
        <f t="shared" si="1"/>
        <v>pastrana,302728</v>
      </c>
      <c r="I13" t="s">
        <v>14</v>
      </c>
    </row>
    <row r="14" spans="1:11" ht="14.25">
      <c r="A14" s="2">
        <v>11</v>
      </c>
      <c r="B14" s="8" t="s">
        <v>698</v>
      </c>
      <c r="C14" s="31" t="s">
        <v>716</v>
      </c>
      <c r="D14" s="31" t="s">
        <v>717</v>
      </c>
      <c r="E14" s="33" t="s">
        <v>231</v>
      </c>
      <c r="F14" s="27">
        <v>117570150016</v>
      </c>
      <c r="G14" s="7" t="str">
        <f t="shared" si="0"/>
        <v>117570150016@r6-1.deped.gov.ph</v>
      </c>
      <c r="H14" s="8" t="str">
        <f t="shared" si="1"/>
        <v>alimane,302728</v>
      </c>
      <c r="I14" t="s">
        <v>14</v>
      </c>
    </row>
    <row r="15" spans="1:11" ht="14.25">
      <c r="A15" s="2">
        <v>12</v>
      </c>
      <c r="B15" s="8" t="s">
        <v>698</v>
      </c>
      <c r="C15" s="31" t="s">
        <v>471</v>
      </c>
      <c r="D15" s="31" t="s">
        <v>718</v>
      </c>
      <c r="E15" s="33" t="s">
        <v>239</v>
      </c>
      <c r="F15" s="27">
        <v>117573150085</v>
      </c>
      <c r="G15" s="7" t="str">
        <f t="shared" si="0"/>
        <v>117573150085@r6-1.deped.gov.ph</v>
      </c>
      <c r="H15" s="8" t="str">
        <f t="shared" si="1"/>
        <v>alvarez,302728</v>
      </c>
      <c r="I15" t="s">
        <v>14</v>
      </c>
    </row>
    <row r="16" spans="1:11" ht="14.25">
      <c r="A16" s="2">
        <v>13</v>
      </c>
      <c r="B16" s="8" t="s">
        <v>698</v>
      </c>
      <c r="C16" s="31" t="s">
        <v>719</v>
      </c>
      <c r="D16" s="31" t="s">
        <v>720</v>
      </c>
      <c r="E16" s="33" t="s">
        <v>263</v>
      </c>
      <c r="F16" s="27">
        <v>440020160048</v>
      </c>
      <c r="G16" s="7" t="str">
        <f t="shared" si="0"/>
        <v>440020160048@r6-1.deped.gov.ph</v>
      </c>
      <c r="H16" s="8" t="str">
        <f t="shared" si="1"/>
        <v>balderas,302728</v>
      </c>
      <c r="I16" t="s">
        <v>14</v>
      </c>
    </row>
    <row r="17" spans="1:9" ht="14.25">
      <c r="A17" s="2">
        <v>14</v>
      </c>
      <c r="B17" s="8" t="s">
        <v>698</v>
      </c>
      <c r="C17" s="31" t="s">
        <v>721</v>
      </c>
      <c r="D17" s="31" t="s">
        <v>722</v>
      </c>
      <c r="E17" s="33" t="s">
        <v>242</v>
      </c>
      <c r="F17" s="27">
        <v>117579150052</v>
      </c>
      <c r="G17" s="7" t="str">
        <f t="shared" si="0"/>
        <v>117579150052@r6-1.deped.gov.ph</v>
      </c>
      <c r="H17" s="8" t="str">
        <f t="shared" si="1"/>
        <v>baulita,302728</v>
      </c>
      <c r="I17" t="s">
        <v>46</v>
      </c>
    </row>
    <row r="18" spans="1:9" ht="14.25">
      <c r="A18" s="2">
        <v>15</v>
      </c>
      <c r="B18" s="8" t="s">
        <v>698</v>
      </c>
      <c r="C18" s="31" t="s">
        <v>436</v>
      </c>
      <c r="D18" s="31" t="s">
        <v>723</v>
      </c>
      <c r="E18" s="33" t="s">
        <v>724</v>
      </c>
      <c r="F18" s="27">
        <v>442003150035</v>
      </c>
      <c r="G18" s="7" t="str">
        <f t="shared" si="0"/>
        <v>442003150035@r6-1.deped.gov.ph</v>
      </c>
      <c r="H18" s="8" t="str">
        <f t="shared" si="1"/>
        <v>besa,302728</v>
      </c>
      <c r="I18" t="s">
        <v>14</v>
      </c>
    </row>
    <row r="19" spans="1:9" ht="14.25">
      <c r="A19" s="2">
        <v>16</v>
      </c>
      <c r="B19" s="8" t="s">
        <v>698</v>
      </c>
      <c r="C19" s="31" t="s">
        <v>725</v>
      </c>
      <c r="D19" s="31" t="s">
        <v>726</v>
      </c>
      <c r="E19" s="33" t="s">
        <v>234</v>
      </c>
      <c r="F19" s="27">
        <v>117571150013</v>
      </c>
      <c r="G19" s="7" t="str">
        <f t="shared" si="0"/>
        <v>117571150013@r6-1.deped.gov.ph</v>
      </c>
      <c r="H19" s="8" t="str">
        <f t="shared" si="1"/>
        <v>camposa,302728</v>
      </c>
      <c r="I19" t="s">
        <v>14</v>
      </c>
    </row>
    <row r="20" spans="1:9" ht="14.25">
      <c r="A20" s="2">
        <v>17</v>
      </c>
      <c r="B20" s="8" t="s">
        <v>698</v>
      </c>
      <c r="C20" s="31" t="s">
        <v>727</v>
      </c>
      <c r="D20" s="31" t="s">
        <v>728</v>
      </c>
      <c r="E20" s="33" t="s">
        <v>252</v>
      </c>
      <c r="F20" s="27">
        <v>117563150072</v>
      </c>
      <c r="G20" s="7" t="str">
        <f t="shared" si="0"/>
        <v>117563150072@r6-1.deped.gov.ph</v>
      </c>
      <c r="H20" s="8" t="str">
        <f t="shared" si="1"/>
        <v>cases,302728</v>
      </c>
      <c r="I20" t="s">
        <v>14</v>
      </c>
    </row>
    <row r="21" spans="1:9" ht="14.25">
      <c r="A21" s="2">
        <v>18</v>
      </c>
      <c r="B21" s="8" t="s">
        <v>698</v>
      </c>
      <c r="C21" s="31" t="s">
        <v>729</v>
      </c>
      <c r="D21" s="31" t="s">
        <v>730</v>
      </c>
      <c r="E21" s="33" t="s">
        <v>239</v>
      </c>
      <c r="F21" s="27">
        <v>117579150018</v>
      </c>
      <c r="G21" s="7" t="str">
        <f t="shared" si="0"/>
        <v>117579150018@r6-1.deped.gov.ph</v>
      </c>
      <c r="H21" s="8" t="str">
        <f t="shared" si="1"/>
        <v>constantino,302728</v>
      </c>
      <c r="I21" t="s">
        <v>14</v>
      </c>
    </row>
    <row r="22" spans="1:9" ht="14.25">
      <c r="A22" s="2">
        <v>19</v>
      </c>
      <c r="B22" s="8" t="s">
        <v>698</v>
      </c>
      <c r="C22" s="31" t="s">
        <v>731</v>
      </c>
      <c r="D22" s="31" t="s">
        <v>732</v>
      </c>
      <c r="E22" s="33" t="s">
        <v>242</v>
      </c>
      <c r="F22" s="27">
        <v>117573160001</v>
      </c>
      <c r="G22" s="7" t="str">
        <f t="shared" si="0"/>
        <v>117573160001@r6-1.deped.gov.ph</v>
      </c>
      <c r="H22" s="8" t="str">
        <f t="shared" si="1"/>
        <v>dechimo,302728</v>
      </c>
      <c r="I22" t="s">
        <v>14</v>
      </c>
    </row>
    <row r="23" spans="1:9" ht="14.25">
      <c r="A23" s="2">
        <v>20</v>
      </c>
      <c r="B23" s="8" t="s">
        <v>698</v>
      </c>
      <c r="C23" s="31" t="s">
        <v>314</v>
      </c>
      <c r="D23" s="31" t="s">
        <v>67</v>
      </c>
      <c r="E23" s="33" t="s">
        <v>281</v>
      </c>
      <c r="F23" s="27">
        <v>117571150057</v>
      </c>
      <c r="G23" s="7" t="str">
        <f t="shared" si="0"/>
        <v>117571150057@r6-1.deped.gov.ph</v>
      </c>
      <c r="H23" s="8" t="str">
        <f t="shared" si="1"/>
        <v>dela cruz,302728</v>
      </c>
      <c r="I23" t="s">
        <v>14</v>
      </c>
    </row>
    <row r="24" spans="1:9" ht="14.25">
      <c r="A24" s="2">
        <v>21</v>
      </c>
      <c r="B24" s="8" t="s">
        <v>698</v>
      </c>
      <c r="C24" s="31" t="s">
        <v>733</v>
      </c>
      <c r="D24" s="31" t="s">
        <v>734</v>
      </c>
      <c r="E24" s="33" t="s">
        <v>239</v>
      </c>
      <c r="F24" s="27">
        <v>117565150041</v>
      </c>
      <c r="G24" s="7" t="str">
        <f t="shared" si="0"/>
        <v>117565150041@r6-1.deped.gov.ph</v>
      </c>
      <c r="H24" s="8" t="str">
        <f t="shared" si="1"/>
        <v>derosa,302728</v>
      </c>
      <c r="I24" t="s">
        <v>14</v>
      </c>
    </row>
    <row r="25" spans="1:9" ht="14.25">
      <c r="A25" s="2">
        <v>22</v>
      </c>
      <c r="B25" s="8" t="s">
        <v>698</v>
      </c>
      <c r="C25" s="31" t="s">
        <v>735</v>
      </c>
      <c r="D25" s="31" t="s">
        <v>736</v>
      </c>
      <c r="E25" s="33" t="s">
        <v>263</v>
      </c>
      <c r="F25" s="27">
        <v>442003150019</v>
      </c>
      <c r="G25" s="7" t="str">
        <f t="shared" si="0"/>
        <v>442003150019@r6-1.deped.gov.ph</v>
      </c>
      <c r="H25" s="8" t="str">
        <f t="shared" si="1"/>
        <v>diaz,302728</v>
      </c>
      <c r="I25" t="s">
        <v>14</v>
      </c>
    </row>
    <row r="26" spans="1:9" ht="14.25">
      <c r="A26" s="2">
        <v>23</v>
      </c>
      <c r="B26" s="8" t="s">
        <v>698</v>
      </c>
      <c r="C26" s="31" t="s">
        <v>737</v>
      </c>
      <c r="D26" s="31" t="s">
        <v>738</v>
      </c>
      <c r="E26" s="33" t="s">
        <v>739</v>
      </c>
      <c r="F26" s="27">
        <v>136790150121</v>
      </c>
      <c r="G26" s="7" t="str">
        <f t="shared" si="0"/>
        <v>136790150121@r6-1.deped.gov.ph</v>
      </c>
      <c r="H26" s="8" t="str">
        <f t="shared" si="1"/>
        <v>espora,302728</v>
      </c>
      <c r="I26" t="s">
        <v>14</v>
      </c>
    </row>
    <row r="27" spans="1:9" ht="14.25">
      <c r="A27" s="2">
        <v>24</v>
      </c>
      <c r="B27" s="8" t="s">
        <v>698</v>
      </c>
      <c r="C27" s="31" t="s">
        <v>534</v>
      </c>
      <c r="D27" s="31" t="s">
        <v>740</v>
      </c>
      <c r="E27" s="33" t="s">
        <v>263</v>
      </c>
      <c r="F27" s="27">
        <v>442003150011</v>
      </c>
      <c r="G27" s="7" t="str">
        <f t="shared" si="0"/>
        <v>442003150011@r6-1.deped.gov.ph</v>
      </c>
      <c r="H27" s="8" t="str">
        <f t="shared" si="1"/>
        <v>ferrer,302728</v>
      </c>
      <c r="I27" t="s">
        <v>14</v>
      </c>
    </row>
    <row r="28" spans="1:9" ht="14.25">
      <c r="A28" s="2">
        <v>25</v>
      </c>
      <c r="B28" s="8" t="s">
        <v>698</v>
      </c>
      <c r="C28" s="31" t="s">
        <v>741</v>
      </c>
      <c r="D28" s="31" t="s">
        <v>742</v>
      </c>
      <c r="E28" s="33" t="s">
        <v>231</v>
      </c>
      <c r="F28" s="27">
        <v>117573140160</v>
      </c>
      <c r="G28" s="7" t="str">
        <f t="shared" si="0"/>
        <v>117573140160@r6-1.deped.gov.ph</v>
      </c>
      <c r="H28" s="8" t="str">
        <f t="shared" si="1"/>
        <v>gajo,302728</v>
      </c>
      <c r="I28" t="s">
        <v>14</v>
      </c>
    </row>
    <row r="29" spans="1:9" ht="14.25">
      <c r="A29" s="2">
        <v>26</v>
      </c>
      <c r="B29" s="8" t="s">
        <v>698</v>
      </c>
      <c r="C29" s="31" t="s">
        <v>613</v>
      </c>
      <c r="D29" s="31" t="s">
        <v>743</v>
      </c>
      <c r="E29" s="33" t="s">
        <v>739</v>
      </c>
      <c r="F29" s="27">
        <v>117570150022</v>
      </c>
      <c r="G29" s="7" t="str">
        <f t="shared" si="0"/>
        <v>117570150022@r6-1.deped.gov.ph</v>
      </c>
      <c r="H29" s="8" t="str">
        <f t="shared" si="1"/>
        <v>gilarman,302728</v>
      </c>
      <c r="I29" t="s">
        <v>14</v>
      </c>
    </row>
    <row r="30" spans="1:9" ht="14.25">
      <c r="A30" s="2">
        <v>27</v>
      </c>
      <c r="B30" s="8" t="s">
        <v>698</v>
      </c>
      <c r="C30" s="31" t="s">
        <v>744</v>
      </c>
      <c r="D30" s="31" t="s">
        <v>745</v>
      </c>
      <c r="E30" s="33" t="s">
        <v>231</v>
      </c>
      <c r="F30" s="27">
        <v>117563150074</v>
      </c>
      <c r="G30" s="7" t="str">
        <f t="shared" si="0"/>
        <v>117563150074@r6-1.deped.gov.ph</v>
      </c>
      <c r="H30" s="8" t="str">
        <f t="shared" si="1"/>
        <v>gelisanga,302728</v>
      </c>
      <c r="I30" t="s">
        <v>14</v>
      </c>
    </row>
    <row r="31" spans="1:9" ht="14.25">
      <c r="A31" s="2">
        <v>28</v>
      </c>
      <c r="B31" s="8" t="s">
        <v>698</v>
      </c>
      <c r="C31" s="31" t="s">
        <v>644</v>
      </c>
      <c r="D31" s="31" t="s">
        <v>746</v>
      </c>
      <c r="E31" s="33" t="s">
        <v>260</v>
      </c>
      <c r="F31" s="27">
        <v>117570150021</v>
      </c>
      <c r="G31" s="7" t="str">
        <f t="shared" si="0"/>
        <v>117570150021@r6-1.deped.gov.ph</v>
      </c>
      <c r="H31" s="8" t="str">
        <f t="shared" si="1"/>
        <v>gomez,302728</v>
      </c>
      <c r="I31" t="s">
        <v>14</v>
      </c>
    </row>
    <row r="32" spans="1:9" ht="14.25">
      <c r="A32" s="2">
        <v>29</v>
      </c>
      <c r="B32" s="8" t="s">
        <v>698</v>
      </c>
      <c r="C32" s="31" t="s">
        <v>747</v>
      </c>
      <c r="D32" s="31" t="s">
        <v>748</v>
      </c>
      <c r="E32" s="33" t="s">
        <v>536</v>
      </c>
      <c r="F32" s="27">
        <v>117574150071</v>
      </c>
      <c r="G32" s="7" t="str">
        <f t="shared" si="0"/>
        <v>117574150071@r6-1.deped.gov.ph</v>
      </c>
      <c r="H32" s="8" t="str">
        <f t="shared" si="1"/>
        <v>jamera,302728</v>
      </c>
      <c r="I32" t="s">
        <v>14</v>
      </c>
    </row>
    <row r="33" spans="1:9" ht="14.25">
      <c r="A33" s="2">
        <v>30</v>
      </c>
      <c r="B33" s="8" t="s">
        <v>698</v>
      </c>
      <c r="C33" s="31" t="s">
        <v>506</v>
      </c>
      <c r="D33" s="31" t="s">
        <v>749</v>
      </c>
      <c r="E33" s="33" t="s">
        <v>260</v>
      </c>
      <c r="F33" s="27">
        <v>117570130047</v>
      </c>
      <c r="G33" s="7" t="str">
        <f t="shared" si="0"/>
        <v>117570130047@r6-1.deped.gov.ph</v>
      </c>
      <c r="H33" s="8" t="str">
        <f t="shared" si="1"/>
        <v>kang,302728</v>
      </c>
      <c r="I33" t="s">
        <v>14</v>
      </c>
    </row>
    <row r="34" spans="1:9" ht="14.25">
      <c r="A34" s="2">
        <v>31</v>
      </c>
      <c r="B34" s="8" t="s">
        <v>698</v>
      </c>
      <c r="C34" s="31" t="s">
        <v>750</v>
      </c>
      <c r="D34" s="31" t="s">
        <v>746</v>
      </c>
      <c r="E34" s="33" t="s">
        <v>239</v>
      </c>
      <c r="F34" s="27">
        <v>442003150036</v>
      </c>
      <c r="G34" s="7" t="str">
        <f t="shared" si="0"/>
        <v>442003150036@r6-1.deped.gov.ph</v>
      </c>
      <c r="H34" s="8" t="str">
        <f t="shared" si="1"/>
        <v>lamostre,302728</v>
      </c>
      <c r="I34" t="s">
        <v>14</v>
      </c>
    </row>
    <row r="35" spans="1:9" ht="14.25">
      <c r="A35" s="2">
        <v>32</v>
      </c>
      <c r="B35" s="8" t="s">
        <v>698</v>
      </c>
      <c r="C35" s="31" t="s">
        <v>751</v>
      </c>
      <c r="D35" s="31" t="s">
        <v>752</v>
      </c>
      <c r="E35" s="33" t="s">
        <v>242</v>
      </c>
      <c r="F35" s="27">
        <v>117567150017</v>
      </c>
      <c r="G35" s="7" t="str">
        <f t="shared" si="0"/>
        <v>117567150017@r6-1.deped.gov.ph</v>
      </c>
      <c r="H35" s="8" t="str">
        <f t="shared" si="1"/>
        <v>llauder,302728</v>
      </c>
      <c r="I35" t="s">
        <v>14</v>
      </c>
    </row>
    <row r="36" spans="1:9" ht="14.25">
      <c r="A36" s="2">
        <v>33</v>
      </c>
      <c r="B36" s="8" t="s">
        <v>698</v>
      </c>
      <c r="C36" s="31" t="s">
        <v>753</v>
      </c>
      <c r="D36" s="31" t="s">
        <v>754</v>
      </c>
      <c r="E36" s="33" t="s">
        <v>257</v>
      </c>
      <c r="F36" s="27">
        <v>117579150022</v>
      </c>
      <c r="G36" s="7" t="str">
        <f t="shared" si="0"/>
        <v>117579150022@r6-1.deped.gov.ph</v>
      </c>
      <c r="H36" s="8" t="str">
        <f t="shared" si="1"/>
        <v>mahil,302728</v>
      </c>
      <c r="I36" t="s">
        <v>14</v>
      </c>
    </row>
    <row r="37" spans="1:9" ht="14.25">
      <c r="A37" s="2">
        <v>34</v>
      </c>
      <c r="B37" s="8" t="s">
        <v>698</v>
      </c>
      <c r="C37" s="31" t="s">
        <v>755</v>
      </c>
      <c r="D37" s="31" t="s">
        <v>756</v>
      </c>
      <c r="E37" s="33" t="s">
        <v>242</v>
      </c>
      <c r="F37" s="27">
        <v>103986150019</v>
      </c>
      <c r="G37" s="7" t="str">
        <f t="shared" si="0"/>
        <v>103986150019@r6-1.deped.gov.ph</v>
      </c>
      <c r="H37" s="8" t="str">
        <f t="shared" si="1"/>
        <v>montero,302728</v>
      </c>
      <c r="I37" t="s">
        <v>14</v>
      </c>
    </row>
    <row r="38" spans="1:9" ht="14.25">
      <c r="A38" s="2">
        <v>35</v>
      </c>
      <c r="B38" s="8" t="s">
        <v>698</v>
      </c>
      <c r="C38" s="31" t="s">
        <v>757</v>
      </c>
      <c r="D38" s="31" t="s">
        <v>758</v>
      </c>
      <c r="E38" s="33" t="s">
        <v>268</v>
      </c>
      <c r="F38" s="27">
        <v>117579150024</v>
      </c>
      <c r="G38" s="7" t="str">
        <f t="shared" si="0"/>
        <v>117579150024@r6-1.deped.gov.ph</v>
      </c>
      <c r="H38" s="8" t="str">
        <f t="shared" si="1"/>
        <v>romero,302728</v>
      </c>
      <c r="I38" t="s">
        <v>14</v>
      </c>
    </row>
    <row r="39" spans="1:9" ht="14.25">
      <c r="A39" s="2">
        <v>36</v>
      </c>
      <c r="B39" s="8" t="s">
        <v>698</v>
      </c>
      <c r="C39" s="31" t="s">
        <v>759</v>
      </c>
      <c r="D39" s="31" t="s">
        <v>760</v>
      </c>
      <c r="E39" s="33" t="s">
        <v>294</v>
      </c>
      <c r="F39" s="27">
        <v>117244150079</v>
      </c>
      <c r="G39" s="7" t="str">
        <f t="shared" si="0"/>
        <v>117244150079@r6-1.deped.gov.ph</v>
      </c>
      <c r="H39" s="8" t="str">
        <f t="shared" si="1"/>
        <v>solomon,302728</v>
      </c>
      <c r="I39" t="s">
        <v>14</v>
      </c>
    </row>
    <row r="40" spans="1:9" ht="14.25">
      <c r="A40" s="2">
        <v>37</v>
      </c>
      <c r="B40" s="8" t="s">
        <v>698</v>
      </c>
      <c r="C40" s="31" t="s">
        <v>761</v>
      </c>
      <c r="D40" s="31" t="s">
        <v>762</v>
      </c>
      <c r="E40" s="33" t="s">
        <v>739</v>
      </c>
      <c r="F40" s="27">
        <v>117561150054</v>
      </c>
      <c r="G40" s="7" t="str">
        <f t="shared" si="0"/>
        <v>117561150054@r6-1.deped.gov.ph</v>
      </c>
      <c r="H40" s="8" t="str">
        <f t="shared" si="1"/>
        <v>tumbale,302728</v>
      </c>
      <c r="I40" t="s">
        <v>14</v>
      </c>
    </row>
    <row r="41" spans="1:9" ht="14.25">
      <c r="A41" s="2">
        <v>38</v>
      </c>
      <c r="B41" s="8" t="s">
        <v>698</v>
      </c>
      <c r="C41" s="31" t="s">
        <v>763</v>
      </c>
      <c r="D41" s="31" t="s">
        <v>764</v>
      </c>
      <c r="E41" s="33" t="s">
        <v>309</v>
      </c>
      <c r="F41" s="27">
        <v>117573150112</v>
      </c>
      <c r="G41" s="7" t="str">
        <f t="shared" si="0"/>
        <v>117573150112@r6-1.deped.gov.ph</v>
      </c>
      <c r="H41" s="8" t="str">
        <f t="shared" si="1"/>
        <v>valenzuela,302728</v>
      </c>
      <c r="I41" t="s">
        <v>14</v>
      </c>
    </row>
    <row r="42" spans="1:9" ht="14.25">
      <c r="A42" s="2">
        <v>39</v>
      </c>
      <c r="B42" s="8" t="s">
        <v>698</v>
      </c>
      <c r="C42" s="31" t="s">
        <v>467</v>
      </c>
      <c r="D42" s="31" t="s">
        <v>765</v>
      </c>
      <c r="E42" s="33" t="s">
        <v>245</v>
      </c>
      <c r="F42" s="27">
        <v>442003150015</v>
      </c>
      <c r="G42" s="7" t="str">
        <f t="shared" si="0"/>
        <v>442003150015@r6-1.deped.gov.ph</v>
      </c>
      <c r="H42" s="8" t="str">
        <f t="shared" si="1"/>
        <v>victoriano,302728</v>
      </c>
      <c r="I42" t="s">
        <v>14</v>
      </c>
    </row>
    <row r="43" spans="1:9" ht="14.25">
      <c r="A43" s="2">
        <v>40</v>
      </c>
      <c r="B43" s="8" t="s">
        <v>698</v>
      </c>
      <c r="C43" s="31" t="s">
        <v>157</v>
      </c>
      <c r="D43" s="31" t="s">
        <v>766</v>
      </c>
      <c r="E43" s="33" t="s">
        <v>263</v>
      </c>
      <c r="F43" s="27">
        <v>442003150016</v>
      </c>
      <c r="G43" s="7" t="str">
        <f t="shared" si="0"/>
        <v>442003150016@r6-1.deped.gov.ph</v>
      </c>
      <c r="H43" s="8" t="str">
        <f t="shared" si="1"/>
        <v>villasor,302728</v>
      </c>
      <c r="I43" t="s">
        <v>14</v>
      </c>
    </row>
    <row r="44" spans="1:9" ht="14.25">
      <c r="A44" s="2">
        <v>41</v>
      </c>
      <c r="B44" s="8" t="s">
        <v>698</v>
      </c>
      <c r="C44" s="31" t="s">
        <v>573</v>
      </c>
      <c r="D44" s="31" t="s">
        <v>767</v>
      </c>
      <c r="E44" s="33" t="s">
        <v>309</v>
      </c>
      <c r="F44" s="27">
        <v>117573150110</v>
      </c>
      <c r="G44" s="7" t="str">
        <f t="shared" si="0"/>
        <v>117573150110@r6-1.deped.gov.ph</v>
      </c>
      <c r="H44" s="8" t="str">
        <f t="shared" si="1"/>
        <v>vito,302728</v>
      </c>
      <c r="I44" t="s">
        <v>14</v>
      </c>
    </row>
    <row r="45" spans="1:9" ht="14.25">
      <c r="A45" s="2">
        <v>42</v>
      </c>
      <c r="B45" s="8" t="s">
        <v>698</v>
      </c>
      <c r="C45" s="31" t="s">
        <v>768</v>
      </c>
      <c r="D45" s="31" t="s">
        <v>769</v>
      </c>
      <c r="E45" s="33" t="s">
        <v>294</v>
      </c>
      <c r="F45" s="34">
        <v>117567150092</v>
      </c>
      <c r="G45" s="7" t="str">
        <f t="shared" si="0"/>
        <v>117567150092@r6-1.deped.gov.ph</v>
      </c>
      <c r="H45" s="8" t="str">
        <f t="shared" si="1"/>
        <v>ysulan,302728</v>
      </c>
      <c r="I45" t="s">
        <v>14</v>
      </c>
    </row>
    <row r="46" spans="1:9" ht="12.75">
      <c r="A46" s="2">
        <v>43</v>
      </c>
      <c r="B46" s="8" t="s">
        <v>770</v>
      </c>
      <c r="C46" s="35" t="s">
        <v>771</v>
      </c>
      <c r="D46" s="35" t="s">
        <v>772</v>
      </c>
      <c r="E46" s="5" t="s">
        <v>294</v>
      </c>
      <c r="F46" s="5">
        <v>117567160023</v>
      </c>
      <c r="G46" s="7" t="str">
        <f t="shared" si="0"/>
        <v>117567160023@r6-1.deped.gov.ph</v>
      </c>
      <c r="H46" s="8" t="str">
        <f t="shared" si="1"/>
        <v>andalecio,302728</v>
      </c>
      <c r="I46" t="s">
        <v>14</v>
      </c>
    </row>
    <row r="47" spans="1:9" ht="12.75">
      <c r="A47" s="2">
        <v>44</v>
      </c>
      <c r="B47" s="8" t="s">
        <v>770</v>
      </c>
      <c r="C47" s="35" t="s">
        <v>773</v>
      </c>
      <c r="D47" s="35" t="s">
        <v>774</v>
      </c>
      <c r="E47" s="5" t="s">
        <v>252</v>
      </c>
      <c r="F47" s="5">
        <v>117874150006</v>
      </c>
      <c r="G47" s="7" t="str">
        <f t="shared" si="0"/>
        <v>117874150006@r6-1.deped.gov.ph</v>
      </c>
      <c r="H47" s="8" t="str">
        <f t="shared" si="1"/>
        <v>baroa,302728</v>
      </c>
      <c r="I47" t="s">
        <v>14</v>
      </c>
    </row>
    <row r="48" spans="1:9" ht="12.75">
      <c r="A48" s="2">
        <v>45</v>
      </c>
      <c r="B48" s="8" t="s">
        <v>770</v>
      </c>
      <c r="C48" s="35" t="s">
        <v>775</v>
      </c>
      <c r="D48" s="35" t="s">
        <v>776</v>
      </c>
      <c r="E48" s="5" t="s">
        <v>252</v>
      </c>
      <c r="F48" s="5">
        <v>117573150032</v>
      </c>
      <c r="G48" s="7" t="str">
        <f t="shared" si="0"/>
        <v>117573150032@r6-1.deped.gov.ph</v>
      </c>
      <c r="H48" s="8" t="str">
        <f t="shared" si="1"/>
        <v>enopia,302728</v>
      </c>
      <c r="I48" t="s">
        <v>14</v>
      </c>
    </row>
    <row r="49" spans="1:9" ht="12.75">
      <c r="A49" s="2">
        <v>46</v>
      </c>
      <c r="B49" s="8" t="s">
        <v>770</v>
      </c>
      <c r="C49" s="35" t="s">
        <v>777</v>
      </c>
      <c r="D49" s="35" t="s">
        <v>778</v>
      </c>
      <c r="E49" s="5" t="s">
        <v>239</v>
      </c>
      <c r="F49" s="5">
        <v>117244150056</v>
      </c>
      <c r="G49" s="7" t="str">
        <f t="shared" si="0"/>
        <v>117244150056@r6-1.deped.gov.ph</v>
      </c>
      <c r="H49" s="8" t="str">
        <f t="shared" si="1"/>
        <v>escribano,302728</v>
      </c>
      <c r="I49" t="s">
        <v>14</v>
      </c>
    </row>
    <row r="50" spans="1:9" ht="12.75">
      <c r="A50" s="2">
        <v>47</v>
      </c>
      <c r="B50" s="8" t="s">
        <v>770</v>
      </c>
      <c r="C50" s="35" t="s">
        <v>779</v>
      </c>
      <c r="D50" s="35" t="s">
        <v>780</v>
      </c>
      <c r="E50" s="5" t="s">
        <v>242</v>
      </c>
      <c r="F50" s="5">
        <v>117573150036</v>
      </c>
      <c r="G50" s="7" t="str">
        <f t="shared" si="0"/>
        <v>117573150036@r6-1.deped.gov.ph</v>
      </c>
      <c r="H50" s="8" t="str">
        <f t="shared" si="1"/>
        <v>gandiola,302728</v>
      </c>
      <c r="I50" t="s">
        <v>14</v>
      </c>
    </row>
    <row r="51" spans="1:9" ht="12.75">
      <c r="A51" s="2">
        <v>48</v>
      </c>
      <c r="B51" s="8" t="s">
        <v>770</v>
      </c>
      <c r="C51" s="35" t="s">
        <v>781</v>
      </c>
      <c r="D51" s="35" t="s">
        <v>782</v>
      </c>
      <c r="E51" s="5" t="s">
        <v>239</v>
      </c>
      <c r="F51" s="5">
        <v>117570150034</v>
      </c>
      <c r="G51" s="7" t="str">
        <f t="shared" si="0"/>
        <v>117570150034@r6-1.deped.gov.ph</v>
      </c>
      <c r="H51" s="8" t="str">
        <f t="shared" si="1"/>
        <v>gerogalem,302728</v>
      </c>
      <c r="I51" t="s">
        <v>14</v>
      </c>
    </row>
    <row r="52" spans="1:9" ht="12.75">
      <c r="A52" s="2">
        <v>49</v>
      </c>
      <c r="B52" s="8" t="s">
        <v>770</v>
      </c>
      <c r="C52" s="35" t="s">
        <v>783</v>
      </c>
      <c r="D52" s="35" t="s">
        <v>784</v>
      </c>
      <c r="E52" s="5" t="s">
        <v>252</v>
      </c>
      <c r="F52" s="5">
        <v>117573150041</v>
      </c>
      <c r="G52" s="7" t="str">
        <f t="shared" si="0"/>
        <v>117573150041@r6-1.deped.gov.ph</v>
      </c>
      <c r="H52" s="8" t="str">
        <f t="shared" si="1"/>
        <v>laguna,302728</v>
      </c>
      <c r="I52" t="s">
        <v>14</v>
      </c>
    </row>
    <row r="53" spans="1:9" ht="12.75">
      <c r="A53" s="2">
        <v>50</v>
      </c>
      <c r="B53" s="8" t="s">
        <v>770</v>
      </c>
      <c r="C53" s="35" t="s">
        <v>785</v>
      </c>
      <c r="D53" s="35" t="s">
        <v>786</v>
      </c>
      <c r="E53" s="5" t="s">
        <v>311</v>
      </c>
      <c r="F53" s="5">
        <v>117565140006</v>
      </c>
      <c r="G53" s="7" t="str">
        <f t="shared" si="0"/>
        <v>117565140006@r6-1.deped.gov.ph</v>
      </c>
      <c r="H53" s="8" t="str">
        <f t="shared" si="1"/>
        <v>lesondato,302728</v>
      </c>
      <c r="I53" t="s">
        <v>14</v>
      </c>
    </row>
    <row r="54" spans="1:9" ht="12.75">
      <c r="A54" s="2">
        <v>51</v>
      </c>
      <c r="B54" s="8" t="s">
        <v>770</v>
      </c>
      <c r="C54" s="35" t="s">
        <v>74</v>
      </c>
      <c r="D54" s="35" t="s">
        <v>787</v>
      </c>
      <c r="E54" s="5" t="s">
        <v>268</v>
      </c>
      <c r="F54" s="5">
        <v>117570150037</v>
      </c>
      <c r="G54" s="7" t="str">
        <f t="shared" si="0"/>
        <v>117570150037@r6-1.deped.gov.ph</v>
      </c>
      <c r="H54" s="8" t="str">
        <f t="shared" si="1"/>
        <v>matulac,302728</v>
      </c>
      <c r="I54" t="s">
        <v>14</v>
      </c>
    </row>
    <row r="55" spans="1:9" ht="12.75">
      <c r="A55" s="2">
        <v>52</v>
      </c>
      <c r="B55" s="8" t="s">
        <v>770</v>
      </c>
      <c r="C55" s="35" t="s">
        <v>788</v>
      </c>
      <c r="D55" s="35" t="s">
        <v>789</v>
      </c>
      <c r="E55" s="5" t="s">
        <v>95</v>
      </c>
      <c r="F55" s="5">
        <v>117573150121</v>
      </c>
      <c r="G55" s="7" t="str">
        <f t="shared" si="0"/>
        <v>117573150121@r6-1.deped.gov.ph</v>
      </c>
      <c r="H55" s="8" t="str">
        <f t="shared" si="1"/>
        <v>tayo,302728</v>
      </c>
      <c r="I55" t="s">
        <v>14</v>
      </c>
    </row>
    <row r="56" spans="1:9" ht="12.75">
      <c r="A56" s="2">
        <v>53</v>
      </c>
      <c r="B56" s="8" t="s">
        <v>770</v>
      </c>
      <c r="C56" s="35" t="s">
        <v>790</v>
      </c>
      <c r="D56" s="35" t="s">
        <v>791</v>
      </c>
      <c r="E56" s="5" t="s">
        <v>95</v>
      </c>
      <c r="F56" s="5">
        <v>117573150072</v>
      </c>
      <c r="G56" s="7" t="str">
        <f t="shared" si="0"/>
        <v>117573150072@r6-1.deped.gov.ph</v>
      </c>
      <c r="H56" s="8" t="str">
        <f t="shared" si="1"/>
        <v>teruel,302728</v>
      </c>
      <c r="I56" t="s">
        <v>14</v>
      </c>
    </row>
    <row r="57" spans="1:9" ht="12.75">
      <c r="A57" s="2">
        <v>54</v>
      </c>
      <c r="B57" s="8" t="s">
        <v>770</v>
      </c>
      <c r="C57" s="35" t="s">
        <v>792</v>
      </c>
      <c r="D57" s="35" t="s">
        <v>793</v>
      </c>
      <c r="E57" s="5" t="s">
        <v>245</v>
      </c>
      <c r="F57" s="5">
        <v>117565150009</v>
      </c>
      <c r="G57" s="7" t="str">
        <f t="shared" si="0"/>
        <v>117565150009@r6-1.deped.gov.ph</v>
      </c>
      <c r="H57" s="8" t="str">
        <f t="shared" si="1"/>
        <v>trinidad,302728</v>
      </c>
      <c r="I57" t="s">
        <v>14</v>
      </c>
    </row>
    <row r="58" spans="1:9" ht="12.75">
      <c r="A58" s="2">
        <v>55</v>
      </c>
      <c r="B58" s="8" t="s">
        <v>770</v>
      </c>
      <c r="C58" s="35" t="s">
        <v>794</v>
      </c>
      <c r="D58" s="35" t="s">
        <v>795</v>
      </c>
      <c r="E58" s="5" t="s">
        <v>260</v>
      </c>
      <c r="F58" s="5">
        <v>117244150027</v>
      </c>
      <c r="G58" s="7" t="str">
        <f t="shared" si="0"/>
        <v>117244150027@r6-1.deped.gov.ph</v>
      </c>
      <c r="H58" s="8" t="str">
        <f t="shared" si="1"/>
        <v>abong,302728</v>
      </c>
      <c r="I58" t="s">
        <v>14</v>
      </c>
    </row>
    <row r="59" spans="1:9" ht="12.75">
      <c r="A59" s="2">
        <v>56</v>
      </c>
      <c r="B59" s="8" t="s">
        <v>770</v>
      </c>
      <c r="C59" s="35" t="s">
        <v>796</v>
      </c>
      <c r="D59" s="35" t="s">
        <v>797</v>
      </c>
      <c r="E59" s="5" t="s">
        <v>444</v>
      </c>
      <c r="F59" s="5">
        <v>117574150030</v>
      </c>
      <c r="G59" s="7" t="str">
        <f t="shared" si="0"/>
        <v>117574150030@r6-1.deped.gov.ph</v>
      </c>
      <c r="H59" s="8" t="str">
        <f t="shared" si="1"/>
        <v>amarante,302728</v>
      </c>
      <c r="I59" t="s">
        <v>14</v>
      </c>
    </row>
    <row r="60" spans="1:9" ht="12.75">
      <c r="A60" s="2">
        <v>57</v>
      </c>
      <c r="B60" s="8" t="s">
        <v>770</v>
      </c>
      <c r="C60" s="35" t="s">
        <v>655</v>
      </c>
      <c r="D60" s="35" t="s">
        <v>798</v>
      </c>
      <c r="E60" s="5" t="s">
        <v>263</v>
      </c>
      <c r="F60" s="5">
        <v>117574160003</v>
      </c>
      <c r="G60" s="7" t="str">
        <f t="shared" si="0"/>
        <v>117574160003@r6-1.deped.gov.ph</v>
      </c>
      <c r="H60" s="8" t="str">
        <f t="shared" si="1"/>
        <v>bantillo,302728</v>
      </c>
      <c r="I60" t="s">
        <v>14</v>
      </c>
    </row>
    <row r="61" spans="1:9" ht="12.75">
      <c r="A61" s="2">
        <v>58</v>
      </c>
      <c r="B61" s="8" t="s">
        <v>770</v>
      </c>
      <c r="C61" s="35" t="s">
        <v>655</v>
      </c>
      <c r="D61" s="35" t="s">
        <v>799</v>
      </c>
      <c r="E61" s="5" t="s">
        <v>263</v>
      </c>
      <c r="F61" s="5">
        <v>117574150059</v>
      </c>
      <c r="G61" s="7" t="str">
        <f t="shared" si="0"/>
        <v>117574150059@r6-1.deped.gov.ph</v>
      </c>
      <c r="H61" s="8" t="str">
        <f t="shared" si="1"/>
        <v>bantillo,302728</v>
      </c>
      <c r="I61" t="s">
        <v>14</v>
      </c>
    </row>
    <row r="62" spans="1:9" ht="12.75">
      <c r="A62" s="2">
        <v>59</v>
      </c>
      <c r="B62" s="8" t="s">
        <v>770</v>
      </c>
      <c r="C62" s="35" t="s">
        <v>800</v>
      </c>
      <c r="D62" s="35" t="s">
        <v>801</v>
      </c>
      <c r="E62" s="5" t="s">
        <v>95</v>
      </c>
      <c r="F62" s="5">
        <v>117570150055</v>
      </c>
      <c r="G62" s="7" t="str">
        <f t="shared" si="0"/>
        <v>117570150055@r6-1.deped.gov.ph</v>
      </c>
      <c r="H62" s="8" t="str">
        <f t="shared" si="1"/>
        <v>boltron,302728</v>
      </c>
      <c r="I62" t="s">
        <v>14</v>
      </c>
    </row>
    <row r="63" spans="1:9" ht="12.75">
      <c r="A63" s="2">
        <v>60</v>
      </c>
      <c r="B63" s="8" t="s">
        <v>770</v>
      </c>
      <c r="C63" s="35" t="s">
        <v>802</v>
      </c>
      <c r="D63" s="35" t="s">
        <v>803</v>
      </c>
      <c r="E63" s="5" t="s">
        <v>239</v>
      </c>
      <c r="F63" s="5">
        <v>117573150115</v>
      </c>
      <c r="G63" s="7" t="str">
        <f t="shared" si="0"/>
        <v>117573150115@r6-1.deped.gov.ph</v>
      </c>
      <c r="H63" s="8" t="str">
        <f t="shared" si="1"/>
        <v>ceneta,302728</v>
      </c>
      <c r="I63" t="s">
        <v>14</v>
      </c>
    </row>
    <row r="64" spans="1:9" ht="12.75">
      <c r="A64" s="2">
        <v>61</v>
      </c>
      <c r="B64" s="8" t="s">
        <v>770</v>
      </c>
      <c r="C64" s="35" t="s">
        <v>804</v>
      </c>
      <c r="D64" s="35" t="s">
        <v>805</v>
      </c>
      <c r="E64" s="5" t="s">
        <v>268</v>
      </c>
      <c r="F64" s="5">
        <v>117577150007</v>
      </c>
      <c r="G64" s="7" t="str">
        <f t="shared" si="0"/>
        <v>117577150007@r6-1.deped.gov.ph</v>
      </c>
      <c r="H64" s="8" t="str">
        <f t="shared" si="1"/>
        <v>condemilicor,302728</v>
      </c>
      <c r="I64" t="s">
        <v>14</v>
      </c>
    </row>
    <row r="65" spans="1:9" ht="12.75">
      <c r="A65" s="2">
        <v>62</v>
      </c>
      <c r="B65" s="8" t="s">
        <v>770</v>
      </c>
      <c r="C65" s="35" t="s">
        <v>806</v>
      </c>
      <c r="D65" s="35" t="s">
        <v>807</v>
      </c>
      <c r="E65" s="5" t="s">
        <v>294</v>
      </c>
      <c r="F65" s="5">
        <v>117573150119</v>
      </c>
      <c r="G65" s="7" t="str">
        <f t="shared" si="0"/>
        <v>117573150119@r6-1.deped.gov.ph</v>
      </c>
      <c r="H65" s="8" t="str">
        <f t="shared" si="1"/>
        <v>dedal,302728</v>
      </c>
      <c r="I65" t="s">
        <v>14</v>
      </c>
    </row>
    <row r="66" spans="1:9" ht="12.75">
      <c r="A66" s="2">
        <v>63</v>
      </c>
      <c r="B66" s="8" t="s">
        <v>770</v>
      </c>
      <c r="C66" s="35" t="s">
        <v>808</v>
      </c>
      <c r="D66" s="35" t="s">
        <v>809</v>
      </c>
      <c r="E66" s="5" t="s">
        <v>231</v>
      </c>
      <c r="F66" s="5">
        <v>117573150088</v>
      </c>
      <c r="G66" s="7" t="str">
        <f t="shared" si="0"/>
        <v>117573150088@r6-1.deped.gov.ph</v>
      </c>
      <c r="H66" s="8" t="str">
        <f t="shared" si="1"/>
        <v>dignadice,302728</v>
      </c>
      <c r="I66" t="s">
        <v>46</v>
      </c>
    </row>
    <row r="67" spans="1:9" ht="12.75">
      <c r="A67" s="2">
        <v>64</v>
      </c>
      <c r="B67" s="8" t="s">
        <v>770</v>
      </c>
      <c r="C67" s="35" t="s">
        <v>530</v>
      </c>
      <c r="D67" s="35" t="s">
        <v>810</v>
      </c>
      <c r="E67" s="5" t="s">
        <v>739</v>
      </c>
      <c r="F67" s="5">
        <v>117570150020</v>
      </c>
      <c r="G67" s="7" t="str">
        <f t="shared" si="0"/>
        <v>117570150020@r6-1.deped.gov.ph</v>
      </c>
      <c r="H67" s="8" t="str">
        <f t="shared" si="1"/>
        <v>domadiego,302728</v>
      </c>
      <c r="I67" t="s">
        <v>14</v>
      </c>
    </row>
    <row r="68" spans="1:9" ht="12.75">
      <c r="A68" s="2">
        <v>65</v>
      </c>
      <c r="B68" s="8" t="s">
        <v>770</v>
      </c>
      <c r="C68" s="35" t="s">
        <v>811</v>
      </c>
      <c r="D68" s="35" t="s">
        <v>812</v>
      </c>
      <c r="E68" s="5" t="s">
        <v>257</v>
      </c>
      <c r="F68" s="5">
        <v>117573150092</v>
      </c>
      <c r="G68" s="7" t="str">
        <f t="shared" ref="G68:G124" si="2">IF(F68="","",F68&amp;"@r6-1.deped.gov.ph")</f>
        <v>117573150092@r6-1.deped.gov.ph</v>
      </c>
      <c r="H68" s="8" t="str">
        <f t="shared" ref="H68:H125" si="3">IF(C68="","",LOWER(C68)&amp;",302728")</f>
        <v>espirida,302728</v>
      </c>
      <c r="I68" t="s">
        <v>14</v>
      </c>
    </row>
    <row r="69" spans="1:9" ht="12.75">
      <c r="A69" s="2">
        <v>66</v>
      </c>
      <c r="B69" s="8" t="s">
        <v>770</v>
      </c>
      <c r="C69" s="35" t="s">
        <v>813</v>
      </c>
      <c r="D69" s="35" t="s">
        <v>429</v>
      </c>
      <c r="E69" s="5" t="s">
        <v>245</v>
      </c>
      <c r="F69" s="5">
        <v>117250150064</v>
      </c>
      <c r="G69" s="7" t="str">
        <f t="shared" si="2"/>
        <v>117250150064@r6-1.deped.gov.ph</v>
      </c>
      <c r="H69" s="8" t="str">
        <f t="shared" si="3"/>
        <v>eusebio,302728</v>
      </c>
      <c r="I69" t="s">
        <v>46</v>
      </c>
    </row>
    <row r="70" spans="1:9" ht="12.75">
      <c r="A70" s="2">
        <v>67</v>
      </c>
      <c r="B70" s="8" t="s">
        <v>770</v>
      </c>
      <c r="C70" s="35" t="s">
        <v>814</v>
      </c>
      <c r="D70" s="35" t="s">
        <v>815</v>
      </c>
      <c r="E70" s="5" t="s">
        <v>245</v>
      </c>
      <c r="F70" s="5">
        <v>117578150033</v>
      </c>
      <c r="G70" s="7" t="str">
        <f t="shared" si="2"/>
        <v>117578150033@r6-1.deped.gov.ph</v>
      </c>
      <c r="H70" s="8" t="str">
        <f t="shared" si="3"/>
        <v>fogata,302728</v>
      </c>
      <c r="I70" t="s">
        <v>14</v>
      </c>
    </row>
    <row r="71" spans="1:9" ht="12.75">
      <c r="A71" s="2">
        <v>68</v>
      </c>
      <c r="B71" s="8" t="s">
        <v>770</v>
      </c>
      <c r="C71" s="35" t="s">
        <v>611</v>
      </c>
      <c r="D71" s="35" t="s">
        <v>816</v>
      </c>
      <c r="E71" s="5" t="s">
        <v>260</v>
      </c>
      <c r="F71" s="5">
        <v>117578150023</v>
      </c>
      <c r="G71" s="7" t="str">
        <f t="shared" si="2"/>
        <v>117578150023@r6-1.deped.gov.ph</v>
      </c>
      <c r="H71" s="8" t="str">
        <f t="shared" si="3"/>
        <v>francisco,302728</v>
      </c>
      <c r="I71" t="s">
        <v>14</v>
      </c>
    </row>
    <row r="72" spans="1:9" ht="12.75">
      <c r="A72" s="2">
        <v>69</v>
      </c>
      <c r="B72" s="8" t="s">
        <v>770</v>
      </c>
      <c r="C72" s="35" t="s">
        <v>611</v>
      </c>
      <c r="D72" s="35" t="s">
        <v>817</v>
      </c>
      <c r="E72" s="5" t="s">
        <v>281</v>
      </c>
      <c r="F72" s="5">
        <v>117244150033</v>
      </c>
      <c r="G72" s="7" t="str">
        <f t="shared" si="2"/>
        <v>117244150033@r6-1.deped.gov.ph</v>
      </c>
      <c r="H72" s="8" t="str">
        <f t="shared" si="3"/>
        <v>francisco,302728</v>
      </c>
      <c r="I72" t="s">
        <v>14</v>
      </c>
    </row>
    <row r="73" spans="1:9" ht="12.75">
      <c r="A73" s="2">
        <v>70</v>
      </c>
      <c r="B73" s="8" t="s">
        <v>770</v>
      </c>
      <c r="C73" s="35" t="s">
        <v>818</v>
      </c>
      <c r="D73" s="35" t="s">
        <v>819</v>
      </c>
      <c r="E73" s="5" t="s">
        <v>242</v>
      </c>
      <c r="F73" s="5">
        <v>117244150074</v>
      </c>
      <c r="G73" s="7" t="str">
        <f t="shared" si="2"/>
        <v>117244150074@r6-1.deped.gov.ph</v>
      </c>
      <c r="H73" s="8" t="str">
        <f t="shared" si="3"/>
        <v>javier,302728</v>
      </c>
      <c r="I73" t="s">
        <v>14</v>
      </c>
    </row>
    <row r="74" spans="1:9" ht="12.75">
      <c r="A74" s="2">
        <v>71</v>
      </c>
      <c r="B74" s="8" t="s">
        <v>770</v>
      </c>
      <c r="C74" s="35" t="s">
        <v>783</v>
      </c>
      <c r="D74" s="35" t="s">
        <v>820</v>
      </c>
      <c r="E74" s="5" t="s">
        <v>252</v>
      </c>
      <c r="F74" s="5">
        <v>117573150098</v>
      </c>
      <c r="G74" s="7" t="str">
        <f t="shared" si="2"/>
        <v>117573150098@r6-1.deped.gov.ph</v>
      </c>
      <c r="H74" s="8" t="str">
        <f t="shared" si="3"/>
        <v>laguna,302728</v>
      </c>
      <c r="I74" t="s">
        <v>14</v>
      </c>
    </row>
    <row r="75" spans="1:9" ht="12.75">
      <c r="A75" s="2">
        <v>72</v>
      </c>
      <c r="B75" s="8" t="s">
        <v>770</v>
      </c>
      <c r="C75" s="35" t="s">
        <v>821</v>
      </c>
      <c r="D75" s="35" t="s">
        <v>822</v>
      </c>
      <c r="E75" s="5" t="s">
        <v>255</v>
      </c>
      <c r="F75" s="5">
        <v>117574150072</v>
      </c>
      <c r="G75" s="7" t="str">
        <f t="shared" si="2"/>
        <v>117574150072@r6-1.deped.gov.ph</v>
      </c>
      <c r="H75" s="8" t="str">
        <f t="shared" si="3"/>
        <v>lanotes,302728</v>
      </c>
      <c r="I75" t="s">
        <v>14</v>
      </c>
    </row>
    <row r="76" spans="1:9" ht="12.75">
      <c r="A76" s="2">
        <v>73</v>
      </c>
      <c r="B76" s="8" t="s">
        <v>770</v>
      </c>
      <c r="C76" s="35" t="s">
        <v>823</v>
      </c>
      <c r="D76" s="35" t="s">
        <v>824</v>
      </c>
      <c r="E76" s="5" t="s">
        <v>242</v>
      </c>
      <c r="F76" s="5">
        <v>117574150040</v>
      </c>
      <c r="G76" s="7" t="str">
        <f t="shared" si="2"/>
        <v>117574150040@r6-1.deped.gov.ph</v>
      </c>
      <c r="H76" s="8" t="str">
        <f t="shared" si="3"/>
        <v>lobaton,302728</v>
      </c>
      <c r="I76" t="s">
        <v>14</v>
      </c>
    </row>
    <row r="77" spans="1:9" ht="12.75">
      <c r="A77" s="2">
        <v>74</v>
      </c>
      <c r="B77" s="8" t="s">
        <v>770</v>
      </c>
      <c r="C77" s="35" t="s">
        <v>825</v>
      </c>
      <c r="D77" s="35" t="s">
        <v>521</v>
      </c>
      <c r="E77" s="5" t="s">
        <v>268</v>
      </c>
      <c r="F77" s="5">
        <v>117578150024</v>
      </c>
      <c r="G77" s="7" t="str">
        <f t="shared" si="2"/>
        <v>117578150024@r6-1.deped.gov.ph</v>
      </c>
      <c r="H77" s="8" t="str">
        <f t="shared" si="3"/>
        <v>lomogda,302728</v>
      </c>
      <c r="I77" t="s">
        <v>14</v>
      </c>
    </row>
    <row r="78" spans="1:9" ht="12.75">
      <c r="A78" s="2">
        <v>75</v>
      </c>
      <c r="B78" s="8" t="s">
        <v>770</v>
      </c>
      <c r="C78" s="35" t="s">
        <v>826</v>
      </c>
      <c r="D78" s="35" t="s">
        <v>827</v>
      </c>
      <c r="E78" s="5" t="s">
        <v>268</v>
      </c>
      <c r="F78" s="5">
        <v>117573160004</v>
      </c>
      <c r="G78" s="7" t="str">
        <f t="shared" si="2"/>
        <v>117573160004@r6-1.deped.gov.ph</v>
      </c>
      <c r="H78" s="8" t="str">
        <f t="shared" si="3"/>
        <v>marpa,302728</v>
      </c>
      <c r="I78" t="s">
        <v>14</v>
      </c>
    </row>
    <row r="79" spans="1:9" ht="12.75">
      <c r="A79" s="2">
        <v>76</v>
      </c>
      <c r="B79" s="8" t="s">
        <v>770</v>
      </c>
      <c r="C79" s="35" t="s">
        <v>74</v>
      </c>
      <c r="D79" s="35" t="s">
        <v>828</v>
      </c>
      <c r="E79" s="5" t="s">
        <v>239</v>
      </c>
      <c r="F79" s="5">
        <v>117244150037</v>
      </c>
      <c r="G79" s="7" t="str">
        <f t="shared" si="2"/>
        <v>117244150037@r6-1.deped.gov.ph</v>
      </c>
      <c r="H79" s="8" t="str">
        <f t="shared" si="3"/>
        <v>matulac,302728</v>
      </c>
      <c r="I79" t="s">
        <v>14</v>
      </c>
    </row>
    <row r="80" spans="1:9" ht="12.75">
      <c r="A80" s="2">
        <v>77</v>
      </c>
      <c r="B80" s="8" t="s">
        <v>770</v>
      </c>
      <c r="C80" s="35" t="s">
        <v>829</v>
      </c>
      <c r="D80" s="35" t="s">
        <v>830</v>
      </c>
      <c r="E80" s="5" t="s">
        <v>234</v>
      </c>
      <c r="F80" s="5">
        <v>117561160178</v>
      </c>
      <c r="G80" s="7" t="str">
        <f t="shared" si="2"/>
        <v>117561160178@r6-1.deped.gov.ph</v>
      </c>
      <c r="H80" s="8" t="str">
        <f t="shared" si="3"/>
        <v>razonable,302728</v>
      </c>
      <c r="I80" t="s">
        <v>14</v>
      </c>
    </row>
    <row r="81" spans="1:9" ht="12.75">
      <c r="A81" s="2">
        <v>78</v>
      </c>
      <c r="B81" s="8" t="s">
        <v>770</v>
      </c>
      <c r="C81" s="35" t="s">
        <v>831</v>
      </c>
      <c r="D81" s="35" t="s">
        <v>817</v>
      </c>
      <c r="E81" s="5" t="s">
        <v>255</v>
      </c>
      <c r="F81" s="5">
        <v>115836150033</v>
      </c>
      <c r="G81" s="7" t="str">
        <f t="shared" si="2"/>
        <v>115836150033@r6-1.deped.gov.ph</v>
      </c>
      <c r="H81" s="8" t="str">
        <f t="shared" si="3"/>
        <v>rebojo,302728</v>
      </c>
      <c r="I81" t="s">
        <v>14</v>
      </c>
    </row>
    <row r="82" spans="1:9" ht="12.75">
      <c r="A82" s="2">
        <v>79</v>
      </c>
      <c r="B82" s="8" t="s">
        <v>770</v>
      </c>
      <c r="C82" s="35" t="s">
        <v>630</v>
      </c>
      <c r="D82" s="35" t="s">
        <v>832</v>
      </c>
      <c r="E82" s="5" t="s">
        <v>231</v>
      </c>
      <c r="F82" s="5">
        <v>117571150019</v>
      </c>
      <c r="G82" s="7" t="str">
        <f t="shared" si="2"/>
        <v>117571150019@r6-1.deped.gov.ph</v>
      </c>
      <c r="H82" s="8" t="str">
        <f t="shared" si="3"/>
        <v>templado,302728</v>
      </c>
      <c r="I82" t="s">
        <v>14</v>
      </c>
    </row>
    <row r="83" spans="1:9" ht="12.75">
      <c r="A83" s="2">
        <v>80</v>
      </c>
      <c r="B83" s="8" t="s">
        <v>770</v>
      </c>
      <c r="C83" s="35" t="s">
        <v>833</v>
      </c>
      <c r="D83" s="35" t="s">
        <v>834</v>
      </c>
      <c r="E83" s="5" t="s">
        <v>281</v>
      </c>
      <c r="F83" s="5">
        <v>117573150106</v>
      </c>
      <c r="G83" s="7" t="str">
        <f t="shared" si="2"/>
        <v>117573150106@r6-1.deped.gov.ph</v>
      </c>
      <c r="H83" s="8" t="str">
        <f t="shared" si="3"/>
        <v>tombocon,302728</v>
      </c>
      <c r="I83" t="s">
        <v>14</v>
      </c>
    </row>
    <row r="84" spans="1:9" ht="12.75">
      <c r="A84" s="2">
        <v>81</v>
      </c>
      <c r="B84" s="8" t="s">
        <v>770</v>
      </c>
      <c r="C84" s="35" t="s">
        <v>835</v>
      </c>
      <c r="D84" s="35" t="s">
        <v>836</v>
      </c>
      <c r="E84" s="5" t="s">
        <v>239</v>
      </c>
      <c r="F84" s="5">
        <v>117244150082</v>
      </c>
      <c r="G84" s="7" t="str">
        <f t="shared" si="2"/>
        <v>117244150082@r6-1.deped.gov.ph</v>
      </c>
      <c r="H84" s="8" t="str">
        <f t="shared" si="3"/>
        <v>villareiz,302728</v>
      </c>
      <c r="I84" t="s">
        <v>14</v>
      </c>
    </row>
    <row r="85" spans="1:9" ht="12.75">
      <c r="A85" s="2">
        <v>82</v>
      </c>
      <c r="B85" s="8" t="s">
        <v>770</v>
      </c>
      <c r="C85" s="35" t="s">
        <v>837</v>
      </c>
      <c r="D85" s="35" t="s">
        <v>838</v>
      </c>
      <c r="E85" s="5" t="s">
        <v>239</v>
      </c>
      <c r="F85" s="5">
        <v>117538150045</v>
      </c>
      <c r="G85" s="7" t="str">
        <f t="shared" si="2"/>
        <v>117538150045@r6-1.deped.gov.ph</v>
      </c>
      <c r="H85" s="8" t="str">
        <f t="shared" si="3"/>
        <v>villas,302728</v>
      </c>
      <c r="I85" t="s">
        <v>14</v>
      </c>
    </row>
    <row r="86" spans="1:9" ht="12.75">
      <c r="A86" s="2">
        <v>83</v>
      </c>
      <c r="B86" s="8" t="s">
        <v>839</v>
      </c>
      <c r="C86" s="7" t="s">
        <v>840</v>
      </c>
      <c r="D86" s="7" t="s">
        <v>841</v>
      </c>
      <c r="E86" s="8" t="s">
        <v>245</v>
      </c>
      <c r="F86" s="8">
        <v>117573150022</v>
      </c>
      <c r="G86" s="7" t="str">
        <f t="shared" si="2"/>
        <v>117573150022@r6-1.deped.gov.ph</v>
      </c>
      <c r="H86" s="8" t="str">
        <f t="shared" si="3"/>
        <v>balalihe,302728</v>
      </c>
      <c r="I86" t="s">
        <v>14</v>
      </c>
    </row>
    <row r="87" spans="1:9" ht="12.75">
      <c r="A87" s="2">
        <v>84</v>
      </c>
      <c r="B87" s="8" t="s">
        <v>839</v>
      </c>
      <c r="C87" s="7" t="s">
        <v>842</v>
      </c>
      <c r="D87" s="7" t="s">
        <v>843</v>
      </c>
      <c r="E87" s="8" t="s">
        <v>252</v>
      </c>
      <c r="F87" s="8">
        <v>117244150011</v>
      </c>
      <c r="G87" s="7" t="str">
        <f t="shared" si="2"/>
        <v>117244150011@r6-1.deped.gov.ph</v>
      </c>
      <c r="H87" s="8" t="str">
        <f t="shared" si="3"/>
        <v>barzo,302728</v>
      </c>
      <c r="I87" t="s">
        <v>14</v>
      </c>
    </row>
    <row r="88" spans="1:9" ht="12.75">
      <c r="A88" s="2">
        <v>85</v>
      </c>
      <c r="B88" s="8" t="s">
        <v>839</v>
      </c>
      <c r="C88" s="7" t="s">
        <v>844</v>
      </c>
      <c r="D88" s="7" t="s">
        <v>772</v>
      </c>
      <c r="E88" s="8" t="s">
        <v>361</v>
      </c>
      <c r="F88" s="8">
        <v>117573150029</v>
      </c>
      <c r="G88" s="7" t="str">
        <f t="shared" si="2"/>
        <v>117573150029@r6-1.deped.gov.ph</v>
      </c>
      <c r="H88" s="8" t="str">
        <f t="shared" si="3"/>
        <v>del rosario,302728</v>
      </c>
      <c r="I88" t="s">
        <v>14</v>
      </c>
    </row>
    <row r="89" spans="1:9" ht="12.75">
      <c r="A89" s="2">
        <v>86</v>
      </c>
      <c r="B89" s="8" t="s">
        <v>839</v>
      </c>
      <c r="C89" s="7" t="s">
        <v>845</v>
      </c>
      <c r="D89" s="7" t="s">
        <v>846</v>
      </c>
      <c r="E89" s="8"/>
      <c r="F89" s="8">
        <v>115019150106</v>
      </c>
      <c r="G89" s="7" t="str">
        <f t="shared" si="2"/>
        <v>115019150106@r6-1.deped.gov.ph</v>
      </c>
      <c r="H89" s="8" t="str">
        <f t="shared" si="3"/>
        <v>diaroz,302728</v>
      </c>
      <c r="I89" t="s">
        <v>14</v>
      </c>
    </row>
    <row r="90" spans="1:9" ht="12.75">
      <c r="A90" s="2">
        <v>87</v>
      </c>
      <c r="B90" s="8" t="s">
        <v>839</v>
      </c>
      <c r="C90" s="7" t="s">
        <v>847</v>
      </c>
      <c r="D90" s="7" t="s">
        <v>848</v>
      </c>
      <c r="E90" s="8" t="s">
        <v>263</v>
      </c>
      <c r="F90" s="8">
        <v>117248150033</v>
      </c>
      <c r="G90" s="7" t="str">
        <f t="shared" si="2"/>
        <v>117248150033@r6-1.deped.gov.ph</v>
      </c>
      <c r="H90" s="8" t="str">
        <f t="shared" si="3"/>
        <v>esmedia,302728</v>
      </c>
      <c r="I90" t="s">
        <v>14</v>
      </c>
    </row>
    <row r="91" spans="1:9" ht="12.75">
      <c r="A91" s="2">
        <v>88</v>
      </c>
      <c r="B91" s="8" t="s">
        <v>839</v>
      </c>
      <c r="C91" s="7" t="s">
        <v>849</v>
      </c>
      <c r="D91" s="7" t="s">
        <v>850</v>
      </c>
      <c r="E91" s="8" t="s">
        <v>311</v>
      </c>
      <c r="F91" s="8">
        <v>117575150001</v>
      </c>
      <c r="G91" s="7" t="str">
        <f t="shared" si="2"/>
        <v>117575150001@r6-1.deped.gov.ph</v>
      </c>
      <c r="H91" s="8" t="str">
        <f t="shared" si="3"/>
        <v>española,302728</v>
      </c>
      <c r="I91" t="s">
        <v>14</v>
      </c>
    </row>
    <row r="92" spans="1:9" ht="12.75">
      <c r="A92" s="2">
        <v>89</v>
      </c>
      <c r="B92" s="8" t="s">
        <v>839</v>
      </c>
      <c r="C92" s="7" t="s">
        <v>851</v>
      </c>
      <c r="D92" s="7" t="s">
        <v>852</v>
      </c>
      <c r="E92" s="8" t="s">
        <v>309</v>
      </c>
      <c r="F92" s="8">
        <v>117578150010</v>
      </c>
      <c r="G92" s="7" t="str">
        <f t="shared" si="2"/>
        <v>117578150010@r6-1.deped.gov.ph</v>
      </c>
      <c r="H92" s="8" t="str">
        <f t="shared" si="3"/>
        <v>garito,302728</v>
      </c>
      <c r="I92" t="s">
        <v>14</v>
      </c>
    </row>
    <row r="93" spans="1:9" ht="12.75">
      <c r="A93" s="2">
        <v>90</v>
      </c>
      <c r="B93" s="8" t="s">
        <v>839</v>
      </c>
      <c r="C93" s="7" t="s">
        <v>853</v>
      </c>
      <c r="D93" s="7" t="s">
        <v>854</v>
      </c>
      <c r="E93" s="8" t="s">
        <v>231</v>
      </c>
      <c r="F93" s="8">
        <v>117574150016</v>
      </c>
      <c r="G93" s="7" t="str">
        <f t="shared" si="2"/>
        <v>117574150016@r6-1.deped.gov.ph</v>
      </c>
      <c r="H93" s="8" t="str">
        <f t="shared" si="3"/>
        <v>gerasmia,302728</v>
      </c>
      <c r="I93" t="s">
        <v>46</v>
      </c>
    </row>
    <row r="94" spans="1:9" ht="12.75">
      <c r="A94" s="2">
        <v>91</v>
      </c>
      <c r="B94" s="8" t="s">
        <v>839</v>
      </c>
      <c r="C94" s="7" t="s">
        <v>855</v>
      </c>
      <c r="D94" s="7" t="s">
        <v>435</v>
      </c>
      <c r="E94" s="8" t="s">
        <v>239</v>
      </c>
      <c r="F94" s="8">
        <v>117244150060</v>
      </c>
      <c r="G94" s="7" t="str">
        <f t="shared" si="2"/>
        <v>117244150060@r6-1.deped.gov.ph</v>
      </c>
      <c r="H94" s="8" t="str">
        <f t="shared" si="3"/>
        <v>jabaybay,302728</v>
      </c>
      <c r="I94" t="s">
        <v>14</v>
      </c>
    </row>
    <row r="95" spans="1:9" ht="12.75">
      <c r="A95" s="2">
        <v>92</v>
      </c>
      <c r="B95" s="8" t="s">
        <v>839</v>
      </c>
      <c r="C95" s="7" t="s">
        <v>856</v>
      </c>
      <c r="D95" s="7" t="s">
        <v>572</v>
      </c>
      <c r="E95" s="8" t="s">
        <v>263</v>
      </c>
      <c r="F95" s="8">
        <v>117573150039</v>
      </c>
      <c r="G95" s="7" t="str">
        <f t="shared" si="2"/>
        <v>117573150039@r6-1.deped.gov.ph</v>
      </c>
      <c r="H95" s="8" t="str">
        <f t="shared" si="3"/>
        <v>jayawon,302728</v>
      </c>
      <c r="I95" t="s">
        <v>14</v>
      </c>
    </row>
    <row r="96" spans="1:9" ht="12.75">
      <c r="A96" s="2">
        <v>93</v>
      </c>
      <c r="B96" s="8" t="s">
        <v>839</v>
      </c>
      <c r="C96" s="7" t="s">
        <v>857</v>
      </c>
      <c r="D96" s="7" t="s">
        <v>858</v>
      </c>
      <c r="E96" s="8" t="s">
        <v>309</v>
      </c>
      <c r="F96" s="8">
        <v>441067150240</v>
      </c>
      <c r="G96" s="7" t="str">
        <f t="shared" si="2"/>
        <v>441067150240@r6-1.deped.gov.ph</v>
      </c>
      <c r="H96" s="8" t="str">
        <f t="shared" si="3"/>
        <v>koshy,302728</v>
      </c>
      <c r="I96" t="s">
        <v>14</v>
      </c>
    </row>
    <row r="97" spans="1:9" ht="12.75">
      <c r="A97" s="2">
        <v>94</v>
      </c>
      <c r="B97" s="8" t="s">
        <v>839</v>
      </c>
      <c r="C97" s="7" t="s">
        <v>859</v>
      </c>
      <c r="D97" s="7" t="s">
        <v>860</v>
      </c>
      <c r="E97" s="8" t="s">
        <v>361</v>
      </c>
      <c r="F97" s="8">
        <v>117566150003</v>
      </c>
      <c r="G97" s="7" t="str">
        <f t="shared" si="2"/>
        <v>117566150003@r6-1.deped.gov.ph</v>
      </c>
      <c r="H97" s="8" t="str">
        <f t="shared" si="3"/>
        <v>lecita,302728</v>
      </c>
      <c r="I97" t="s">
        <v>14</v>
      </c>
    </row>
    <row r="98" spans="1:9" ht="12.75">
      <c r="A98" s="2">
        <v>95</v>
      </c>
      <c r="B98" s="8" t="s">
        <v>839</v>
      </c>
      <c r="C98" s="7" t="s">
        <v>861</v>
      </c>
      <c r="D98" s="7" t="s">
        <v>862</v>
      </c>
      <c r="E98" s="8" t="s">
        <v>242</v>
      </c>
      <c r="F98" s="8">
        <v>117575150010</v>
      </c>
      <c r="G98" s="7" t="str">
        <f t="shared" si="2"/>
        <v>117575150010@r6-1.deped.gov.ph</v>
      </c>
      <c r="H98" s="8" t="str">
        <f t="shared" si="3"/>
        <v>marcos,302728</v>
      </c>
      <c r="I98" t="s">
        <v>46</v>
      </c>
    </row>
    <row r="99" spans="1:9" ht="12.75">
      <c r="A99" s="2">
        <v>96</v>
      </c>
      <c r="B99" s="8" t="s">
        <v>839</v>
      </c>
      <c r="C99" s="7" t="s">
        <v>863</v>
      </c>
      <c r="D99" s="7" t="s">
        <v>555</v>
      </c>
      <c r="E99" s="8" t="s">
        <v>242</v>
      </c>
      <c r="F99" s="8">
        <v>117569100037</v>
      </c>
      <c r="G99" s="7" t="str">
        <f t="shared" si="2"/>
        <v>117569100037@r6-1.deped.gov.ph</v>
      </c>
      <c r="H99" s="8" t="str">
        <f t="shared" si="3"/>
        <v>monsay,302728</v>
      </c>
      <c r="I99" t="s">
        <v>14</v>
      </c>
    </row>
    <row r="100" spans="1:9" ht="12.75">
      <c r="A100" s="2">
        <v>97</v>
      </c>
      <c r="B100" s="8" t="s">
        <v>839</v>
      </c>
      <c r="C100" s="7" t="s">
        <v>864</v>
      </c>
      <c r="D100" s="7" t="s">
        <v>865</v>
      </c>
      <c r="E100" s="8" t="s">
        <v>263</v>
      </c>
      <c r="F100" s="8">
        <v>117254120042</v>
      </c>
      <c r="G100" s="7" t="str">
        <f t="shared" si="2"/>
        <v>117254120042@r6-1.deped.gov.ph</v>
      </c>
      <c r="H100" s="8" t="str">
        <f t="shared" si="3"/>
        <v>nepomuceno,302728</v>
      </c>
      <c r="I100" t="s">
        <v>14</v>
      </c>
    </row>
    <row r="101" spans="1:9" ht="12.75">
      <c r="A101" s="2">
        <v>98</v>
      </c>
      <c r="B101" s="8" t="s">
        <v>839</v>
      </c>
      <c r="C101" s="7" t="s">
        <v>866</v>
      </c>
      <c r="D101" s="7" t="s">
        <v>867</v>
      </c>
      <c r="E101" s="8" t="s">
        <v>294</v>
      </c>
      <c r="F101" s="8">
        <v>442003150034</v>
      </c>
      <c r="G101" s="7" t="str">
        <f t="shared" si="2"/>
        <v>442003150034@r6-1.deped.gov.ph</v>
      </c>
      <c r="H101" s="8" t="str">
        <f t="shared" si="3"/>
        <v>pescador,302728</v>
      </c>
      <c r="I101" t="s">
        <v>14</v>
      </c>
    </row>
    <row r="102" spans="1:9" ht="12.75">
      <c r="A102" s="2">
        <v>99</v>
      </c>
      <c r="B102" s="8" t="s">
        <v>839</v>
      </c>
      <c r="C102" s="7" t="s">
        <v>868</v>
      </c>
      <c r="D102" s="7" t="s">
        <v>869</v>
      </c>
      <c r="E102" s="8" t="s">
        <v>252</v>
      </c>
      <c r="F102" s="8">
        <v>117570150056</v>
      </c>
      <c r="G102" s="7" t="str">
        <f t="shared" si="2"/>
        <v>117570150056@r6-1.deped.gov.ph</v>
      </c>
      <c r="H102" s="8" t="str">
        <f t="shared" si="3"/>
        <v>pidoy,302728</v>
      </c>
      <c r="I102" t="s">
        <v>14</v>
      </c>
    </row>
    <row r="103" spans="1:9" ht="12.75">
      <c r="A103" s="2">
        <v>100</v>
      </c>
      <c r="B103" s="8" t="s">
        <v>839</v>
      </c>
      <c r="C103" s="7" t="s">
        <v>870</v>
      </c>
      <c r="D103" s="7" t="s">
        <v>871</v>
      </c>
      <c r="E103" s="8" t="s">
        <v>739</v>
      </c>
      <c r="F103" s="8">
        <v>117573150018</v>
      </c>
      <c r="G103" s="7" t="str">
        <f t="shared" si="2"/>
        <v>117573150018@r6-1.deped.gov.ph</v>
      </c>
      <c r="H103" s="8" t="str">
        <f t="shared" si="3"/>
        <v>rivera,302728</v>
      </c>
      <c r="I103" t="s">
        <v>14</v>
      </c>
    </row>
    <row r="104" spans="1:9" ht="12.75">
      <c r="A104" s="2">
        <v>101</v>
      </c>
      <c r="B104" s="8" t="s">
        <v>839</v>
      </c>
      <c r="C104" s="7" t="s">
        <v>872</v>
      </c>
      <c r="D104" s="7" t="s">
        <v>873</v>
      </c>
      <c r="E104" s="8" t="s">
        <v>252</v>
      </c>
      <c r="F104" s="8">
        <v>117254150013</v>
      </c>
      <c r="G104" s="7" t="str">
        <f t="shared" si="2"/>
        <v>117254150013@r6-1.deped.gov.ph</v>
      </c>
      <c r="H104" s="8" t="str">
        <f t="shared" si="3"/>
        <v>santander,302728</v>
      </c>
      <c r="I104" t="s">
        <v>14</v>
      </c>
    </row>
    <row r="105" spans="1:9" ht="12.75">
      <c r="A105" s="2">
        <v>102</v>
      </c>
      <c r="B105" s="8" t="s">
        <v>839</v>
      </c>
      <c r="C105" s="7" t="s">
        <v>874</v>
      </c>
      <c r="D105" s="7" t="s">
        <v>875</v>
      </c>
      <c r="E105" s="8" t="s">
        <v>281</v>
      </c>
      <c r="F105" s="8">
        <v>117573150082</v>
      </c>
      <c r="G105" s="7" t="str">
        <f t="shared" si="2"/>
        <v>117573150082@r6-1.deped.gov.ph</v>
      </c>
      <c r="H105" s="8" t="str">
        <f t="shared" si="3"/>
        <v>sastre,302728</v>
      </c>
      <c r="I105" t="s">
        <v>14</v>
      </c>
    </row>
    <row r="106" spans="1:9" ht="12.75">
      <c r="A106" s="2">
        <v>103</v>
      </c>
      <c r="B106" s="8" t="s">
        <v>839</v>
      </c>
      <c r="C106" s="7" t="s">
        <v>876</v>
      </c>
      <c r="D106" s="7" t="s">
        <v>877</v>
      </c>
      <c r="E106" s="8" t="s">
        <v>239</v>
      </c>
      <c r="F106" s="8">
        <v>117573150071</v>
      </c>
      <c r="G106" s="7" t="str">
        <f t="shared" si="2"/>
        <v>117573150071@r6-1.deped.gov.ph</v>
      </c>
      <c r="H106" s="8" t="str">
        <f t="shared" si="3"/>
        <v>severino,302728</v>
      </c>
      <c r="I106" t="s">
        <v>14</v>
      </c>
    </row>
    <row r="107" spans="1:9" ht="12.75">
      <c r="A107" s="2">
        <v>104</v>
      </c>
      <c r="B107" s="8" t="s">
        <v>839</v>
      </c>
      <c r="C107" s="7" t="s">
        <v>878</v>
      </c>
      <c r="D107" s="7" t="s">
        <v>879</v>
      </c>
      <c r="E107" s="8" t="s">
        <v>252</v>
      </c>
      <c r="F107" s="8">
        <v>117567150012</v>
      </c>
      <c r="G107" s="7" t="str">
        <f t="shared" si="2"/>
        <v>117567150012@r6-1.deped.gov.ph</v>
      </c>
      <c r="H107" s="8" t="str">
        <f t="shared" si="3"/>
        <v>sison,302728</v>
      </c>
      <c r="I107" t="s">
        <v>14</v>
      </c>
    </row>
    <row r="108" spans="1:9" ht="12.75">
      <c r="A108" s="2">
        <v>105</v>
      </c>
      <c r="B108" s="8" t="s">
        <v>839</v>
      </c>
      <c r="C108" s="7" t="s">
        <v>880</v>
      </c>
      <c r="D108" s="7" t="s">
        <v>881</v>
      </c>
      <c r="E108" s="8" t="s">
        <v>294</v>
      </c>
      <c r="F108" s="8">
        <v>117574150028</v>
      </c>
      <c r="G108" s="7" t="str">
        <f t="shared" si="2"/>
        <v>117574150028@r6-1.deped.gov.ph</v>
      </c>
      <c r="H108" s="8" t="str">
        <f t="shared" si="3"/>
        <v>valiente,302728</v>
      </c>
      <c r="I108" t="s">
        <v>14</v>
      </c>
    </row>
    <row r="109" spans="1:9" ht="12.75">
      <c r="A109" s="2">
        <v>106</v>
      </c>
      <c r="B109" s="8" t="s">
        <v>839</v>
      </c>
      <c r="C109" s="7" t="s">
        <v>573</v>
      </c>
      <c r="D109" s="7" t="s">
        <v>846</v>
      </c>
      <c r="E109" s="8" t="s">
        <v>263</v>
      </c>
      <c r="F109" s="8">
        <v>117573150076</v>
      </c>
      <c r="G109" s="7" t="str">
        <f t="shared" si="2"/>
        <v>117573150076@r6-1.deped.gov.ph</v>
      </c>
      <c r="H109" s="8" t="str">
        <f t="shared" si="3"/>
        <v>vito,302728</v>
      </c>
      <c r="I109" t="s">
        <v>14</v>
      </c>
    </row>
    <row r="110" spans="1:9" ht="12.75">
      <c r="A110" s="2">
        <v>107</v>
      </c>
      <c r="B110" s="8" t="s">
        <v>839</v>
      </c>
      <c r="C110" s="7" t="s">
        <v>882</v>
      </c>
      <c r="D110" s="7" t="s">
        <v>883</v>
      </c>
      <c r="E110" s="8" t="s">
        <v>239</v>
      </c>
      <c r="F110" s="8">
        <v>117578140033</v>
      </c>
      <c r="G110" s="7" t="str">
        <f t="shared" si="2"/>
        <v>117578140033@r6-1.deped.gov.ph</v>
      </c>
      <c r="H110" s="8" t="str">
        <f t="shared" si="3"/>
        <v>aguilar,302728</v>
      </c>
      <c r="I110" t="s">
        <v>14</v>
      </c>
    </row>
    <row r="111" spans="1:9" ht="12.75">
      <c r="A111" s="2">
        <v>108</v>
      </c>
      <c r="B111" s="8" t="s">
        <v>839</v>
      </c>
      <c r="C111" s="7" t="s">
        <v>884</v>
      </c>
      <c r="D111" s="7" t="s">
        <v>885</v>
      </c>
      <c r="E111" s="8" t="s">
        <v>281</v>
      </c>
      <c r="F111" s="8">
        <v>117567150069</v>
      </c>
      <c r="G111" s="7" t="str">
        <f t="shared" si="2"/>
        <v>117567150069@r6-1.deped.gov.ph</v>
      </c>
      <c r="H111" s="8" t="str">
        <f t="shared" si="3"/>
        <v>burata,302728</v>
      </c>
      <c r="I111" t="s">
        <v>46</v>
      </c>
    </row>
    <row r="112" spans="1:9" ht="12.75">
      <c r="A112" s="2">
        <v>109</v>
      </c>
      <c r="B112" s="8" t="s">
        <v>839</v>
      </c>
      <c r="C112" s="7" t="s">
        <v>886</v>
      </c>
      <c r="D112" s="7" t="s">
        <v>887</v>
      </c>
      <c r="E112" s="8"/>
      <c r="F112" s="8">
        <v>117563150050</v>
      </c>
      <c r="G112" s="7" t="str">
        <f t="shared" si="2"/>
        <v>117563150050@r6-1.deped.gov.ph</v>
      </c>
      <c r="H112" s="8" t="str">
        <f t="shared" si="3"/>
        <v>canarejo,302728</v>
      </c>
      <c r="I112" t="s">
        <v>14</v>
      </c>
    </row>
    <row r="113" spans="1:9" ht="12.75">
      <c r="A113" s="2">
        <v>110</v>
      </c>
      <c r="B113" s="8" t="s">
        <v>839</v>
      </c>
      <c r="C113" s="7" t="s">
        <v>888</v>
      </c>
      <c r="D113" s="7" t="s">
        <v>889</v>
      </c>
      <c r="E113" s="8" t="s">
        <v>252</v>
      </c>
      <c r="F113" s="8">
        <v>117563150099</v>
      </c>
      <c r="G113" s="7" t="str">
        <f t="shared" si="2"/>
        <v>117563150099@r6-1.deped.gov.ph</v>
      </c>
      <c r="H113" s="8" t="str">
        <f t="shared" si="3"/>
        <v>floreza,302728</v>
      </c>
      <c r="I113" t="s">
        <v>14</v>
      </c>
    </row>
    <row r="114" spans="1:9" ht="12.75">
      <c r="A114" s="2">
        <v>111</v>
      </c>
      <c r="B114" s="8" t="s">
        <v>839</v>
      </c>
      <c r="C114" s="7" t="s">
        <v>890</v>
      </c>
      <c r="D114" s="7" t="s">
        <v>891</v>
      </c>
      <c r="E114" s="8" t="s">
        <v>300</v>
      </c>
      <c r="F114" s="8">
        <v>117573150093</v>
      </c>
      <c r="G114" s="7" t="str">
        <f t="shared" si="2"/>
        <v>117573150093@r6-1.deped.gov.ph</v>
      </c>
      <c r="H114" s="8" t="str">
        <f t="shared" si="3"/>
        <v>fuentespina,302728</v>
      </c>
      <c r="I114" t="s">
        <v>14</v>
      </c>
    </row>
    <row r="115" spans="1:9" ht="12.75">
      <c r="A115" s="2">
        <v>112</v>
      </c>
      <c r="B115" s="8" t="s">
        <v>839</v>
      </c>
      <c r="C115" s="7" t="s">
        <v>892</v>
      </c>
      <c r="D115" s="7" t="s">
        <v>893</v>
      </c>
      <c r="E115" s="8" t="s">
        <v>231</v>
      </c>
      <c r="F115" s="8">
        <v>117574150068</v>
      </c>
      <c r="G115" s="7" t="str">
        <f t="shared" si="2"/>
        <v>117574150068@r6-1.deped.gov.ph</v>
      </c>
      <c r="H115" s="8" t="str">
        <f t="shared" si="3"/>
        <v>grande,302728</v>
      </c>
      <c r="I115" t="s">
        <v>14</v>
      </c>
    </row>
    <row r="116" spans="1:9" ht="12.75">
      <c r="A116" s="2">
        <v>113</v>
      </c>
      <c r="B116" s="8" t="s">
        <v>839</v>
      </c>
      <c r="C116" s="7" t="s">
        <v>178</v>
      </c>
      <c r="D116" s="7" t="s">
        <v>894</v>
      </c>
      <c r="E116" s="8" t="s">
        <v>300</v>
      </c>
      <c r="F116" s="8">
        <v>117573150103</v>
      </c>
      <c r="G116" s="7" t="str">
        <f t="shared" si="2"/>
        <v>117573150103@r6-1.deped.gov.ph</v>
      </c>
      <c r="H116" s="8" t="str">
        <f t="shared" si="3"/>
        <v>mondejar,302728</v>
      </c>
      <c r="I116" t="s">
        <v>14</v>
      </c>
    </row>
    <row r="117" spans="1:9" ht="12.75">
      <c r="A117" s="2">
        <v>114</v>
      </c>
      <c r="B117" s="8" t="s">
        <v>839</v>
      </c>
      <c r="C117" s="7" t="s">
        <v>895</v>
      </c>
      <c r="D117" s="7" t="s">
        <v>896</v>
      </c>
      <c r="E117" s="8" t="s">
        <v>260</v>
      </c>
      <c r="F117" s="8">
        <v>117573150014</v>
      </c>
      <c r="G117" s="7" t="str">
        <f t="shared" si="2"/>
        <v>117573150014@r6-1.deped.gov.ph</v>
      </c>
      <c r="H117" s="8" t="str">
        <f t="shared" si="3"/>
        <v>morales,302728</v>
      </c>
      <c r="I117" t="s">
        <v>14</v>
      </c>
    </row>
    <row r="118" spans="1:9" ht="12.75">
      <c r="A118" s="2">
        <v>115</v>
      </c>
      <c r="B118" s="8" t="s">
        <v>839</v>
      </c>
      <c r="C118" s="7" t="s">
        <v>897</v>
      </c>
      <c r="D118" s="7" t="s">
        <v>686</v>
      </c>
      <c r="E118" s="8" t="s">
        <v>239</v>
      </c>
      <c r="F118" s="8">
        <v>117574150042</v>
      </c>
      <c r="G118" s="7" t="str">
        <f t="shared" si="2"/>
        <v>117574150042@r6-1.deped.gov.ph</v>
      </c>
      <c r="H118" s="8" t="str">
        <f t="shared" si="3"/>
        <v>norico,302728</v>
      </c>
      <c r="I118" t="s">
        <v>14</v>
      </c>
    </row>
    <row r="119" spans="1:9" ht="12.75">
      <c r="A119" s="2">
        <v>116</v>
      </c>
      <c r="B119" s="8" t="s">
        <v>839</v>
      </c>
      <c r="C119" s="7" t="s">
        <v>898</v>
      </c>
      <c r="D119" s="7" t="s">
        <v>899</v>
      </c>
      <c r="E119" s="8" t="s">
        <v>231</v>
      </c>
      <c r="F119" s="8">
        <v>117573150105</v>
      </c>
      <c r="G119" s="7" t="str">
        <f t="shared" si="2"/>
        <v>117573150105@r6-1.deped.gov.ph</v>
      </c>
      <c r="H119" s="8" t="str">
        <f t="shared" si="3"/>
        <v>ortega,302728</v>
      </c>
      <c r="I119" t="s">
        <v>14</v>
      </c>
    </row>
    <row r="120" spans="1:9" ht="12.75">
      <c r="A120" s="2">
        <v>117</v>
      </c>
      <c r="B120" s="8" t="s">
        <v>839</v>
      </c>
      <c r="C120" s="7" t="s">
        <v>900</v>
      </c>
      <c r="D120" s="7" t="s">
        <v>901</v>
      </c>
      <c r="E120" s="8" t="s">
        <v>268</v>
      </c>
      <c r="F120" s="8">
        <v>117566150011</v>
      </c>
      <c r="G120" s="7" t="str">
        <f t="shared" si="2"/>
        <v>117566150011@r6-1.deped.gov.ph</v>
      </c>
      <c r="H120" s="8" t="str">
        <f t="shared" si="3"/>
        <v>paglomutan,302728</v>
      </c>
      <c r="I120" t="s">
        <v>14</v>
      </c>
    </row>
    <row r="121" spans="1:9" ht="12.75">
      <c r="A121" s="2">
        <v>118</v>
      </c>
      <c r="B121" s="8" t="s">
        <v>839</v>
      </c>
      <c r="C121" s="7" t="s">
        <v>902</v>
      </c>
      <c r="D121" s="7" t="s">
        <v>903</v>
      </c>
      <c r="E121" s="8" t="s">
        <v>361</v>
      </c>
      <c r="F121" s="8">
        <v>117570150052</v>
      </c>
      <c r="G121" s="7" t="str">
        <f t="shared" si="2"/>
        <v>117570150052@r6-1.deped.gov.ph</v>
      </c>
      <c r="H121" s="8" t="str">
        <f t="shared" si="3"/>
        <v>salbatuna,302728</v>
      </c>
      <c r="I121" t="s">
        <v>14</v>
      </c>
    </row>
    <row r="122" spans="1:9" ht="12.75">
      <c r="A122" s="2">
        <v>119</v>
      </c>
      <c r="B122" s="8" t="s">
        <v>839</v>
      </c>
      <c r="C122" s="7" t="s">
        <v>876</v>
      </c>
      <c r="D122" s="7" t="s">
        <v>904</v>
      </c>
      <c r="E122" s="8" t="s">
        <v>260</v>
      </c>
      <c r="F122" s="8">
        <v>117573150107</v>
      </c>
      <c r="G122" s="7" t="str">
        <f t="shared" si="2"/>
        <v>117573150107@r6-1.deped.gov.ph</v>
      </c>
      <c r="H122" s="8" t="str">
        <f t="shared" si="3"/>
        <v>severino,302728</v>
      </c>
      <c r="I122" t="s">
        <v>14</v>
      </c>
    </row>
    <row r="123" spans="1:9" ht="12.75">
      <c r="A123" s="2">
        <v>120</v>
      </c>
      <c r="B123" s="8" t="s">
        <v>839</v>
      </c>
      <c r="C123" s="7" t="s">
        <v>759</v>
      </c>
      <c r="D123" s="7" t="s">
        <v>905</v>
      </c>
      <c r="E123" s="8" t="s">
        <v>239</v>
      </c>
      <c r="F123" s="8">
        <v>117244150042</v>
      </c>
      <c r="G123" s="7" t="str">
        <f t="shared" si="2"/>
        <v>117244150042@r6-1.deped.gov.ph</v>
      </c>
      <c r="H123" s="8" t="str">
        <f t="shared" si="3"/>
        <v>solomon,302728</v>
      </c>
      <c r="I123" t="s">
        <v>14</v>
      </c>
    </row>
    <row r="124" spans="1:9" ht="12.75">
      <c r="A124" s="2">
        <v>121</v>
      </c>
      <c r="B124" s="8" t="s">
        <v>839</v>
      </c>
      <c r="C124" s="7" t="s">
        <v>906</v>
      </c>
      <c r="D124" s="7" t="s">
        <v>907</v>
      </c>
      <c r="E124" s="8" t="s">
        <v>294</v>
      </c>
      <c r="F124" s="8">
        <v>117579160035</v>
      </c>
      <c r="G124" s="7" t="str">
        <f t="shared" si="2"/>
        <v>117579160035@r6-1.deped.gov.ph</v>
      </c>
      <c r="H124" s="8" t="str">
        <f t="shared" si="3"/>
        <v>sugiran,302728</v>
      </c>
      <c r="I124" t="s">
        <v>14</v>
      </c>
    </row>
    <row r="125" spans="1:9" ht="15">
      <c r="A125" s="2">
        <v>122</v>
      </c>
      <c r="B125" s="8" t="s">
        <v>908</v>
      </c>
      <c r="C125" s="36" t="s">
        <v>909</v>
      </c>
      <c r="D125" s="36" t="s">
        <v>910</v>
      </c>
      <c r="E125" s="37" t="s">
        <v>294</v>
      </c>
      <c r="F125" s="37">
        <v>136742160202</v>
      </c>
      <c r="G125" s="38" t="s">
        <v>911</v>
      </c>
      <c r="H125" s="8" t="str">
        <f t="shared" si="3"/>
        <v>alito,302728</v>
      </c>
      <c r="I125" t="s">
        <v>14</v>
      </c>
    </row>
    <row r="126" spans="1:9" ht="15">
      <c r="A126" s="2">
        <v>123</v>
      </c>
      <c r="B126" s="8" t="s">
        <v>908</v>
      </c>
      <c r="C126" s="36" t="s">
        <v>912</v>
      </c>
      <c r="D126" s="36" t="s">
        <v>913</v>
      </c>
      <c r="E126" s="37" t="s">
        <v>255</v>
      </c>
      <c r="F126" s="37">
        <v>117573150021</v>
      </c>
      <c r="G126" s="38" t="s">
        <v>914</v>
      </c>
      <c r="H126" s="8" t="str">
        <f t="shared" ref="H126:H157" si="4">IF(C126="","",LOWER(C126)&amp;",302728")</f>
        <v>ba-ay,302728</v>
      </c>
      <c r="I126" t="s">
        <v>14</v>
      </c>
    </row>
    <row r="127" spans="1:9" ht="15">
      <c r="A127" s="2">
        <v>124</v>
      </c>
      <c r="B127" s="8" t="s">
        <v>908</v>
      </c>
      <c r="C127" s="36" t="s">
        <v>915</v>
      </c>
      <c r="D127" s="36" t="s">
        <v>916</v>
      </c>
      <c r="E127" s="37" t="s">
        <v>245</v>
      </c>
      <c r="F127" s="37">
        <v>117244150048</v>
      </c>
      <c r="G127" s="38" t="s">
        <v>917</v>
      </c>
      <c r="H127" s="8" t="str">
        <f t="shared" si="4"/>
        <v>bedico,302728</v>
      </c>
      <c r="I127" t="s">
        <v>14</v>
      </c>
    </row>
    <row r="128" spans="1:9" ht="15">
      <c r="A128" s="2">
        <v>125</v>
      </c>
      <c r="B128" s="8" t="s">
        <v>908</v>
      </c>
      <c r="C128" s="36" t="s">
        <v>918</v>
      </c>
      <c r="D128" s="36" t="s">
        <v>919</v>
      </c>
      <c r="E128" s="37"/>
      <c r="F128" s="37">
        <v>117566150002</v>
      </c>
      <c r="G128" s="38" t="s">
        <v>920</v>
      </c>
      <c r="H128" s="8" t="str">
        <f t="shared" si="4"/>
        <v>biene,302728</v>
      </c>
      <c r="I128" t="s">
        <v>14</v>
      </c>
    </row>
    <row r="129" spans="1:9" ht="15">
      <c r="A129" s="2">
        <v>126</v>
      </c>
      <c r="B129" s="8" t="s">
        <v>908</v>
      </c>
      <c r="C129" s="36" t="s">
        <v>921</v>
      </c>
      <c r="D129" s="36" t="s">
        <v>922</v>
      </c>
      <c r="E129" s="37" t="s">
        <v>294</v>
      </c>
      <c r="F129" s="37">
        <v>117570150029</v>
      </c>
      <c r="G129" s="38" t="s">
        <v>923</v>
      </c>
      <c r="H129" s="8" t="str">
        <f t="shared" si="4"/>
        <v>bitar,302728</v>
      </c>
      <c r="I129" t="s">
        <v>14</v>
      </c>
    </row>
    <row r="130" spans="1:9" ht="15">
      <c r="A130" s="2">
        <v>127</v>
      </c>
      <c r="B130" s="8" t="s">
        <v>908</v>
      </c>
      <c r="C130" s="36" t="s">
        <v>924</v>
      </c>
      <c r="D130" s="36" t="s">
        <v>925</v>
      </c>
      <c r="E130" s="37" t="s">
        <v>260</v>
      </c>
      <c r="F130" s="37">
        <v>117244150005</v>
      </c>
      <c r="G130" s="38" t="s">
        <v>926</v>
      </c>
      <c r="H130" s="8" t="str">
        <f t="shared" si="4"/>
        <v>buenafe,302728</v>
      </c>
      <c r="I130" t="s">
        <v>14</v>
      </c>
    </row>
    <row r="131" spans="1:9" ht="15">
      <c r="A131" s="2">
        <v>128</v>
      </c>
      <c r="B131" s="8" t="s">
        <v>908</v>
      </c>
      <c r="C131" s="36" t="s">
        <v>927</v>
      </c>
      <c r="D131" s="36" t="s">
        <v>928</v>
      </c>
      <c r="E131" s="37" t="s">
        <v>444</v>
      </c>
      <c r="F131" s="37">
        <v>117885150023</v>
      </c>
      <c r="G131" s="38" t="s">
        <v>929</v>
      </c>
      <c r="H131" s="8" t="str">
        <f t="shared" si="4"/>
        <v>celiz,302728</v>
      </c>
      <c r="I131" t="s">
        <v>14</v>
      </c>
    </row>
    <row r="132" spans="1:9" ht="15">
      <c r="A132" s="2">
        <v>129</v>
      </c>
      <c r="B132" s="8" t="s">
        <v>908</v>
      </c>
      <c r="C132" s="36" t="s">
        <v>735</v>
      </c>
      <c r="D132" s="36" t="s">
        <v>930</v>
      </c>
      <c r="E132" s="37" t="s">
        <v>257</v>
      </c>
      <c r="F132" s="37">
        <v>117563130084</v>
      </c>
      <c r="G132" s="38" t="s">
        <v>931</v>
      </c>
      <c r="H132" s="8" t="str">
        <f t="shared" si="4"/>
        <v>diaz,302728</v>
      </c>
      <c r="I132" t="s">
        <v>14</v>
      </c>
    </row>
    <row r="133" spans="1:9" ht="15">
      <c r="A133" s="2">
        <v>130</v>
      </c>
      <c r="B133" s="8" t="s">
        <v>908</v>
      </c>
      <c r="C133" s="36" t="s">
        <v>932</v>
      </c>
      <c r="D133" s="36" t="s">
        <v>875</v>
      </c>
      <c r="E133" s="37" t="s">
        <v>263</v>
      </c>
      <c r="F133" s="37">
        <v>117574150015</v>
      </c>
      <c r="G133" s="38" t="s">
        <v>933</v>
      </c>
      <c r="H133" s="8" t="str">
        <f t="shared" si="4"/>
        <v>gardose,302728</v>
      </c>
      <c r="I133" t="s">
        <v>14</v>
      </c>
    </row>
    <row r="134" spans="1:9" ht="15">
      <c r="A134" s="2">
        <v>131</v>
      </c>
      <c r="B134" s="8" t="s">
        <v>908</v>
      </c>
      <c r="C134" s="36" t="s">
        <v>781</v>
      </c>
      <c r="D134" s="36" t="s">
        <v>934</v>
      </c>
      <c r="E134" s="37" t="s">
        <v>311</v>
      </c>
      <c r="F134" s="37">
        <v>117570150035</v>
      </c>
      <c r="G134" s="38" t="s">
        <v>935</v>
      </c>
      <c r="H134" s="8" t="str">
        <f t="shared" si="4"/>
        <v>gerogalem,302728</v>
      </c>
      <c r="I134" t="s">
        <v>14</v>
      </c>
    </row>
    <row r="135" spans="1:9" ht="15">
      <c r="A135" s="2">
        <v>132</v>
      </c>
      <c r="B135" s="8" t="s">
        <v>908</v>
      </c>
      <c r="C135" s="36" t="s">
        <v>936</v>
      </c>
      <c r="D135" s="36" t="s">
        <v>937</v>
      </c>
      <c r="E135" s="37" t="s">
        <v>309</v>
      </c>
      <c r="F135" s="37">
        <v>117573150040</v>
      </c>
      <c r="G135" s="38" t="s">
        <v>938</v>
      </c>
      <c r="H135" s="8" t="str">
        <f t="shared" si="4"/>
        <v>juno,302728</v>
      </c>
      <c r="I135" t="s">
        <v>14</v>
      </c>
    </row>
    <row r="136" spans="1:9" ht="15">
      <c r="A136" s="2">
        <v>133</v>
      </c>
      <c r="B136" s="8" t="s">
        <v>908</v>
      </c>
      <c r="C136" s="36" t="s">
        <v>939</v>
      </c>
      <c r="D136" s="36" t="s">
        <v>940</v>
      </c>
      <c r="E136" s="37" t="s">
        <v>311</v>
      </c>
      <c r="F136" s="37">
        <v>117578150031</v>
      </c>
      <c r="G136" s="38" t="s">
        <v>941</v>
      </c>
      <c r="H136" s="8" t="str">
        <f t="shared" si="4"/>
        <v>jusayan,302728</v>
      </c>
      <c r="I136" t="s">
        <v>14</v>
      </c>
    </row>
    <row r="137" spans="1:9" ht="15">
      <c r="A137" s="2">
        <v>134</v>
      </c>
      <c r="B137" s="8" t="s">
        <v>908</v>
      </c>
      <c r="C137" s="36" t="s">
        <v>942</v>
      </c>
      <c r="D137" s="36" t="s">
        <v>943</v>
      </c>
      <c r="E137" s="37" t="s">
        <v>309</v>
      </c>
      <c r="F137" s="37">
        <v>117573140094</v>
      </c>
      <c r="G137" s="38" t="s">
        <v>944</v>
      </c>
      <c r="H137" s="8" t="str">
        <f t="shared" si="4"/>
        <v>labrador,302728</v>
      </c>
      <c r="I137" t="s">
        <v>14</v>
      </c>
    </row>
    <row r="138" spans="1:9" ht="15">
      <c r="A138" s="2">
        <v>135</v>
      </c>
      <c r="B138" s="8" t="s">
        <v>908</v>
      </c>
      <c r="C138" s="36" t="s">
        <v>945</v>
      </c>
      <c r="D138" s="36" t="s">
        <v>946</v>
      </c>
      <c r="E138" s="37" t="s">
        <v>263</v>
      </c>
      <c r="F138" s="37">
        <v>117570150010</v>
      </c>
      <c r="G138" s="38" t="s">
        <v>947</v>
      </c>
      <c r="H138" s="8" t="str">
        <f t="shared" si="4"/>
        <v>maligdong,302728</v>
      </c>
      <c r="I138" t="s">
        <v>14</v>
      </c>
    </row>
    <row r="139" spans="1:9" ht="15">
      <c r="A139" s="2">
        <v>136</v>
      </c>
      <c r="B139" s="8" t="s">
        <v>908</v>
      </c>
      <c r="C139" s="36" t="s">
        <v>948</v>
      </c>
      <c r="D139" s="36" t="s">
        <v>949</v>
      </c>
      <c r="E139" s="37" t="s">
        <v>245</v>
      </c>
      <c r="F139" s="37">
        <v>117570150038</v>
      </c>
      <c r="G139" s="38" t="s">
        <v>950</v>
      </c>
      <c r="H139" s="8" t="str">
        <f t="shared" si="4"/>
        <v>olaybar,302728</v>
      </c>
      <c r="I139" t="s">
        <v>14</v>
      </c>
    </row>
    <row r="140" spans="1:9" ht="15">
      <c r="A140" s="2">
        <v>137</v>
      </c>
      <c r="B140" s="8" t="s">
        <v>908</v>
      </c>
      <c r="C140" s="36" t="s">
        <v>84</v>
      </c>
      <c r="D140" s="36" t="s">
        <v>951</v>
      </c>
      <c r="E140" s="37" t="s">
        <v>361</v>
      </c>
      <c r="F140" s="37">
        <v>117573150049</v>
      </c>
      <c r="G140" s="38" t="s">
        <v>952</v>
      </c>
      <c r="H140" s="8" t="str">
        <f t="shared" si="4"/>
        <v>parcon,302728</v>
      </c>
      <c r="I140" t="s">
        <v>46</v>
      </c>
    </row>
    <row r="141" spans="1:9" ht="15">
      <c r="A141" s="2">
        <v>138</v>
      </c>
      <c r="B141" s="8" t="s">
        <v>908</v>
      </c>
      <c r="C141" s="36" t="s">
        <v>953</v>
      </c>
      <c r="D141" s="36" t="s">
        <v>954</v>
      </c>
      <c r="E141" s="37" t="s">
        <v>245</v>
      </c>
      <c r="F141" s="37">
        <v>117578150015</v>
      </c>
      <c r="G141" s="38" t="s">
        <v>955</v>
      </c>
      <c r="H141" s="8" t="str">
        <f t="shared" si="4"/>
        <v>ponce,302728</v>
      </c>
      <c r="I141" t="s">
        <v>14</v>
      </c>
    </row>
    <row r="142" spans="1:9" ht="15">
      <c r="A142" s="2">
        <v>139</v>
      </c>
      <c r="B142" s="8" t="s">
        <v>908</v>
      </c>
      <c r="C142" s="36" t="s">
        <v>622</v>
      </c>
      <c r="D142" s="36" t="s">
        <v>956</v>
      </c>
      <c r="E142" s="37" t="s">
        <v>231</v>
      </c>
      <c r="F142" s="37">
        <v>117249150034</v>
      </c>
      <c r="G142" s="38" t="s">
        <v>957</v>
      </c>
      <c r="H142" s="8" t="str">
        <f t="shared" si="4"/>
        <v>raymundo,302728</v>
      </c>
      <c r="I142" t="s">
        <v>46</v>
      </c>
    </row>
    <row r="143" spans="1:9" ht="15">
      <c r="A143" s="2">
        <v>140</v>
      </c>
      <c r="B143" s="8" t="s">
        <v>908</v>
      </c>
      <c r="C143" s="36" t="s">
        <v>958</v>
      </c>
      <c r="D143" s="36" t="s">
        <v>959</v>
      </c>
      <c r="E143" s="37" t="s">
        <v>263</v>
      </c>
      <c r="F143" s="37">
        <v>117563150010</v>
      </c>
      <c r="G143" s="38" t="s">
        <v>960</v>
      </c>
      <c r="H143" s="8" t="str">
        <f t="shared" si="4"/>
        <v>rendon,302728</v>
      </c>
      <c r="I143" t="s">
        <v>14</v>
      </c>
    </row>
    <row r="144" spans="1:9" ht="15">
      <c r="A144" s="2">
        <v>141</v>
      </c>
      <c r="B144" s="8" t="s">
        <v>908</v>
      </c>
      <c r="C144" s="36" t="s">
        <v>961</v>
      </c>
      <c r="D144" s="36" t="s">
        <v>962</v>
      </c>
      <c r="E144" s="37" t="s">
        <v>245</v>
      </c>
      <c r="F144" s="37">
        <v>117573150077</v>
      </c>
      <c r="G144" s="38" t="s">
        <v>963</v>
      </c>
      <c r="H144" s="8" t="str">
        <f t="shared" si="4"/>
        <v>ribon,302728</v>
      </c>
      <c r="I144" t="s">
        <v>14</v>
      </c>
    </row>
    <row r="145" spans="1:9" ht="15">
      <c r="A145" s="2">
        <v>142</v>
      </c>
      <c r="B145" s="8" t="s">
        <v>908</v>
      </c>
      <c r="C145" s="36" t="s">
        <v>118</v>
      </c>
      <c r="D145" s="36" t="s">
        <v>964</v>
      </c>
      <c r="E145" s="37" t="s">
        <v>268</v>
      </c>
      <c r="F145" s="37">
        <v>117573150080</v>
      </c>
      <c r="G145" s="38" t="s">
        <v>965</v>
      </c>
      <c r="H145" s="8" t="str">
        <f t="shared" si="4"/>
        <v>ricafort,302728</v>
      </c>
      <c r="I145" t="s">
        <v>14</v>
      </c>
    </row>
    <row r="146" spans="1:9" ht="15">
      <c r="A146" s="2">
        <v>143</v>
      </c>
      <c r="B146" s="8" t="s">
        <v>908</v>
      </c>
      <c r="C146" s="36" t="s">
        <v>872</v>
      </c>
      <c r="D146" s="36" t="s">
        <v>966</v>
      </c>
      <c r="E146" s="37" t="s">
        <v>263</v>
      </c>
      <c r="F146" s="37">
        <v>117254140017</v>
      </c>
      <c r="G146" s="38" t="s">
        <v>967</v>
      </c>
      <c r="H146" s="8" t="str">
        <f t="shared" si="4"/>
        <v>santander,302728</v>
      </c>
      <c r="I146" t="s">
        <v>14</v>
      </c>
    </row>
    <row r="147" spans="1:9" ht="15">
      <c r="A147" s="2">
        <v>144</v>
      </c>
      <c r="B147" s="8" t="s">
        <v>908</v>
      </c>
      <c r="C147" s="36" t="s">
        <v>759</v>
      </c>
      <c r="D147" s="36" t="s">
        <v>968</v>
      </c>
      <c r="E147" s="37" t="s">
        <v>231</v>
      </c>
      <c r="F147" s="37">
        <v>117244150066</v>
      </c>
      <c r="G147" s="38" t="s">
        <v>969</v>
      </c>
      <c r="H147" s="8" t="str">
        <f t="shared" si="4"/>
        <v>solomon,302728</v>
      </c>
      <c r="I147" t="s">
        <v>14</v>
      </c>
    </row>
    <row r="148" spans="1:9" ht="15">
      <c r="A148" s="2">
        <v>145</v>
      </c>
      <c r="B148" s="8" t="s">
        <v>908</v>
      </c>
      <c r="C148" s="36" t="s">
        <v>970</v>
      </c>
      <c r="D148" s="36" t="s">
        <v>971</v>
      </c>
      <c r="E148" s="37" t="s">
        <v>255</v>
      </c>
      <c r="F148" s="37">
        <v>117563150080</v>
      </c>
      <c r="G148" s="38" t="s">
        <v>972</v>
      </c>
      <c r="H148" s="8" t="str">
        <f t="shared" si="4"/>
        <v>terania,302728</v>
      </c>
      <c r="I148" t="s">
        <v>14</v>
      </c>
    </row>
    <row r="149" spans="1:9" ht="15">
      <c r="A149" s="2">
        <v>146</v>
      </c>
      <c r="B149" s="8" t="s">
        <v>908</v>
      </c>
      <c r="C149" s="36" t="s">
        <v>880</v>
      </c>
      <c r="D149" s="36" t="s">
        <v>973</v>
      </c>
      <c r="E149" s="37" t="s">
        <v>268</v>
      </c>
      <c r="F149" s="37">
        <v>117574150056</v>
      </c>
      <c r="G149" s="38" t="s">
        <v>974</v>
      </c>
      <c r="H149" s="8" t="str">
        <f t="shared" si="4"/>
        <v>valiente,302728</v>
      </c>
      <c r="I149" t="s">
        <v>14</v>
      </c>
    </row>
    <row r="150" spans="1:9" ht="15">
      <c r="A150" s="2">
        <v>147</v>
      </c>
      <c r="B150" s="8" t="s">
        <v>908</v>
      </c>
      <c r="C150" s="36" t="s">
        <v>975</v>
      </c>
      <c r="D150" s="36" t="s">
        <v>976</v>
      </c>
      <c r="E150" s="37" t="s">
        <v>268</v>
      </c>
      <c r="F150" s="37">
        <v>117573120091</v>
      </c>
      <c r="G150" s="38" t="s">
        <v>977</v>
      </c>
      <c r="H150" s="8" t="str">
        <f t="shared" si="4"/>
        <v>zonita,302728</v>
      </c>
      <c r="I150" t="s">
        <v>14</v>
      </c>
    </row>
    <row r="151" spans="1:9" ht="15">
      <c r="A151" s="2">
        <v>148</v>
      </c>
      <c r="B151" s="8" t="s">
        <v>908</v>
      </c>
      <c r="C151" s="36" t="s">
        <v>978</v>
      </c>
      <c r="D151" s="36" t="s">
        <v>979</v>
      </c>
      <c r="E151" s="37" t="s">
        <v>239</v>
      </c>
      <c r="F151" s="37">
        <v>117250150082</v>
      </c>
      <c r="G151" s="38" t="s">
        <v>980</v>
      </c>
      <c r="H151" s="8" t="str">
        <f t="shared" si="4"/>
        <v>alibutdan,302728</v>
      </c>
      <c r="I151" t="s">
        <v>46</v>
      </c>
    </row>
    <row r="152" spans="1:9" ht="15">
      <c r="A152" s="2">
        <v>149</v>
      </c>
      <c r="B152" s="8" t="s">
        <v>908</v>
      </c>
      <c r="C152" s="36" t="s">
        <v>981</v>
      </c>
      <c r="D152" s="36" t="s">
        <v>489</v>
      </c>
      <c r="E152" s="37" t="s">
        <v>294</v>
      </c>
      <c r="F152" s="37">
        <v>117244150069</v>
      </c>
      <c r="G152" s="38" t="s">
        <v>982</v>
      </c>
      <c r="H152" s="8" t="str">
        <f t="shared" si="4"/>
        <v>arcejo,302728</v>
      </c>
      <c r="I152" t="s">
        <v>14</v>
      </c>
    </row>
    <row r="153" spans="1:9" ht="15">
      <c r="A153" s="2">
        <v>150</v>
      </c>
      <c r="B153" s="8" t="s">
        <v>908</v>
      </c>
      <c r="C153" s="36" t="s">
        <v>983</v>
      </c>
      <c r="D153" s="36" t="s">
        <v>984</v>
      </c>
      <c r="E153" s="37" t="s">
        <v>245</v>
      </c>
      <c r="F153" s="37">
        <v>117244150029</v>
      </c>
      <c r="G153" s="38" t="s">
        <v>985</v>
      </c>
      <c r="H153" s="8" t="str">
        <f t="shared" si="4"/>
        <v>benggan,302728</v>
      </c>
      <c r="I153" t="s">
        <v>14</v>
      </c>
    </row>
    <row r="154" spans="1:9" ht="15">
      <c r="A154" s="2">
        <v>151</v>
      </c>
      <c r="B154" s="8" t="s">
        <v>908</v>
      </c>
      <c r="C154" s="36" t="s">
        <v>986</v>
      </c>
      <c r="D154" s="36" t="s">
        <v>987</v>
      </c>
      <c r="E154" s="37" t="s">
        <v>263</v>
      </c>
      <c r="F154" s="37">
        <v>117565150016</v>
      </c>
      <c r="G154" s="38" t="s">
        <v>988</v>
      </c>
      <c r="H154" s="8" t="str">
        <f t="shared" si="4"/>
        <v>besiyos,302728</v>
      </c>
      <c r="I154" t="s">
        <v>14</v>
      </c>
    </row>
    <row r="155" spans="1:9" ht="15">
      <c r="A155" s="2">
        <v>152</v>
      </c>
      <c r="B155" s="8" t="s">
        <v>908</v>
      </c>
      <c r="C155" s="36" t="s">
        <v>989</v>
      </c>
      <c r="D155" s="36" t="s">
        <v>990</v>
      </c>
      <c r="E155" s="37" t="s">
        <v>294</v>
      </c>
      <c r="F155" s="37">
        <v>117250150060</v>
      </c>
      <c r="G155" s="38" t="s">
        <v>991</v>
      </c>
      <c r="H155" s="8" t="str">
        <f t="shared" si="4"/>
        <v>colona,302728</v>
      </c>
      <c r="I155" t="s">
        <v>46</v>
      </c>
    </row>
    <row r="156" spans="1:9" ht="15">
      <c r="A156" s="2">
        <v>153</v>
      </c>
      <c r="B156" s="8" t="s">
        <v>908</v>
      </c>
      <c r="C156" s="36" t="s">
        <v>992</v>
      </c>
      <c r="D156" s="36" t="s">
        <v>993</v>
      </c>
      <c r="E156" s="37"/>
      <c r="F156" s="37">
        <v>117489160322</v>
      </c>
      <c r="G156" s="38" t="s">
        <v>994</v>
      </c>
      <c r="H156" s="8" t="str">
        <f t="shared" si="4"/>
        <v>dalmacio,302728</v>
      </c>
      <c r="I156" t="s">
        <v>14</v>
      </c>
    </row>
    <row r="157" spans="1:9" ht="15">
      <c r="A157" s="2">
        <v>154</v>
      </c>
      <c r="B157" s="8" t="s">
        <v>908</v>
      </c>
      <c r="C157" s="36" t="s">
        <v>932</v>
      </c>
      <c r="D157" s="36" t="s">
        <v>746</v>
      </c>
      <c r="E157" s="37" t="s">
        <v>252</v>
      </c>
      <c r="F157" s="37">
        <v>117574150037</v>
      </c>
      <c r="G157" s="38" t="s">
        <v>995</v>
      </c>
      <c r="H157" s="8" t="str">
        <f t="shared" si="4"/>
        <v>gardose,302728</v>
      </c>
      <c r="I157" t="s">
        <v>14</v>
      </c>
    </row>
    <row r="158" spans="1:9" ht="15">
      <c r="A158" s="2">
        <v>155</v>
      </c>
      <c r="B158" s="8" t="s">
        <v>908</v>
      </c>
      <c r="C158" s="36" t="s">
        <v>936</v>
      </c>
      <c r="D158" s="36" t="s">
        <v>996</v>
      </c>
      <c r="E158" s="37" t="s">
        <v>245</v>
      </c>
      <c r="F158" s="37">
        <v>117578160014</v>
      </c>
      <c r="G158" s="38" t="s">
        <v>997</v>
      </c>
      <c r="H158" s="8" t="str">
        <f t="shared" ref="H158:H189" si="5">IF(C158="","",LOWER(C158)&amp;",302728")</f>
        <v>juno,302728</v>
      </c>
      <c r="I158" t="s">
        <v>14</v>
      </c>
    </row>
    <row r="159" spans="1:9" ht="15">
      <c r="A159" s="2">
        <v>156</v>
      </c>
      <c r="B159" s="8" t="s">
        <v>908</v>
      </c>
      <c r="C159" s="36" t="s">
        <v>998</v>
      </c>
      <c r="D159" s="36" t="s">
        <v>999</v>
      </c>
      <c r="E159" s="37" t="s">
        <v>263</v>
      </c>
      <c r="F159" s="37">
        <v>117244150034</v>
      </c>
      <c r="G159" s="38" t="s">
        <v>1000</v>
      </c>
      <c r="H159" s="8" t="str">
        <f t="shared" si="5"/>
        <v>ladrillo,302728</v>
      </c>
      <c r="I159" t="s">
        <v>14</v>
      </c>
    </row>
    <row r="160" spans="1:9" ht="15">
      <c r="A160" s="2">
        <v>157</v>
      </c>
      <c r="B160" s="8" t="s">
        <v>908</v>
      </c>
      <c r="C160" s="36" t="s">
        <v>1001</v>
      </c>
      <c r="D160" s="36" t="s">
        <v>1002</v>
      </c>
      <c r="E160" s="37" t="s">
        <v>239</v>
      </c>
      <c r="F160" s="37">
        <v>117244150035</v>
      </c>
      <c r="G160" s="38" t="s">
        <v>1003</v>
      </c>
      <c r="H160" s="8" t="str">
        <f t="shared" si="5"/>
        <v>lanada,302728</v>
      </c>
      <c r="I160" t="s">
        <v>14</v>
      </c>
    </row>
    <row r="161" spans="1:9" ht="15">
      <c r="A161" s="2">
        <v>158</v>
      </c>
      <c r="B161" s="8" t="s">
        <v>908</v>
      </c>
      <c r="C161" s="36" t="s">
        <v>953</v>
      </c>
      <c r="D161" s="36" t="s">
        <v>214</v>
      </c>
      <c r="E161" s="37" t="s">
        <v>242</v>
      </c>
      <c r="F161" s="37">
        <v>117244150078</v>
      </c>
      <c r="G161" s="38" t="s">
        <v>1004</v>
      </c>
      <c r="H161" s="8" t="str">
        <f t="shared" si="5"/>
        <v>ponce,302728</v>
      </c>
      <c r="I161" t="s">
        <v>14</v>
      </c>
    </row>
    <row r="162" spans="1:9" ht="15">
      <c r="A162" s="2">
        <v>159</v>
      </c>
      <c r="B162" s="8" t="s">
        <v>908</v>
      </c>
      <c r="C162" s="36" t="s">
        <v>1005</v>
      </c>
      <c r="D162" s="36" t="s">
        <v>1006</v>
      </c>
      <c r="E162" s="37" t="s">
        <v>361</v>
      </c>
      <c r="F162" s="37">
        <v>117722150066</v>
      </c>
      <c r="G162" s="38" t="s">
        <v>1007</v>
      </c>
      <c r="H162" s="8" t="str">
        <f t="shared" si="5"/>
        <v>sanjorojo,302728</v>
      </c>
      <c r="I162" t="s">
        <v>46</v>
      </c>
    </row>
    <row r="163" spans="1:9" ht="15">
      <c r="A163" s="2">
        <v>160</v>
      </c>
      <c r="B163" s="8" t="s">
        <v>908</v>
      </c>
      <c r="C163" s="36" t="s">
        <v>1008</v>
      </c>
      <c r="D163" s="36" t="s">
        <v>1009</v>
      </c>
      <c r="E163" s="37" t="s">
        <v>260</v>
      </c>
      <c r="F163" s="37">
        <v>117243140052</v>
      </c>
      <c r="G163" s="38" t="s">
        <v>1010</v>
      </c>
      <c r="H163" s="8" t="str">
        <f t="shared" si="5"/>
        <v>seballos,302728</v>
      </c>
      <c r="I163" t="s">
        <v>14</v>
      </c>
    </row>
    <row r="164" spans="1:9" ht="15">
      <c r="A164" s="2">
        <v>161</v>
      </c>
      <c r="B164" s="8" t="s">
        <v>908</v>
      </c>
      <c r="C164" s="36" t="s">
        <v>1011</v>
      </c>
      <c r="D164" s="36" t="s">
        <v>1012</v>
      </c>
      <c r="E164" s="37" t="s">
        <v>739</v>
      </c>
      <c r="F164" s="37">
        <v>117573150108</v>
      </c>
      <c r="G164" s="38" t="s">
        <v>1013</v>
      </c>
      <c r="H164" s="8" t="str">
        <f t="shared" si="5"/>
        <v>tapalla,302728</v>
      </c>
      <c r="I164" t="s">
        <v>14</v>
      </c>
    </row>
    <row r="165" spans="1:9" ht="15">
      <c r="A165" s="2">
        <v>162</v>
      </c>
      <c r="B165" s="8" t="s">
        <v>908</v>
      </c>
      <c r="C165" s="36" t="s">
        <v>1014</v>
      </c>
      <c r="D165" s="36" t="s">
        <v>1015</v>
      </c>
      <c r="E165" s="37" t="s">
        <v>234</v>
      </c>
      <c r="F165" s="37">
        <v>117478150059</v>
      </c>
      <c r="G165" s="38" t="s">
        <v>1016</v>
      </c>
      <c r="H165" s="8" t="str">
        <f t="shared" si="5"/>
        <v>valdevieso,302728</v>
      </c>
      <c r="I165" t="s">
        <v>14</v>
      </c>
    </row>
    <row r="166" spans="1:9" ht="15">
      <c r="A166" s="2">
        <v>163</v>
      </c>
      <c r="B166" s="8" t="s">
        <v>908</v>
      </c>
      <c r="C166" s="36" t="s">
        <v>880</v>
      </c>
      <c r="D166" s="36" t="s">
        <v>1017</v>
      </c>
      <c r="E166" s="37" t="s">
        <v>245</v>
      </c>
      <c r="F166" s="37">
        <v>117574150076</v>
      </c>
      <c r="G166" s="38" t="s">
        <v>1018</v>
      </c>
      <c r="H166" s="8" t="str">
        <f t="shared" si="5"/>
        <v>valiente,302728</v>
      </c>
      <c r="I166" t="s">
        <v>14</v>
      </c>
    </row>
    <row r="167" spans="1:9" ht="12.75">
      <c r="A167" s="2">
        <v>164</v>
      </c>
      <c r="B167" s="8" t="s">
        <v>1019</v>
      </c>
      <c r="C167" s="4" t="s">
        <v>1020</v>
      </c>
      <c r="D167" s="4" t="s">
        <v>1021</v>
      </c>
      <c r="E167" s="5" t="s">
        <v>268</v>
      </c>
      <c r="F167" s="5">
        <v>117244150047</v>
      </c>
      <c r="G167" s="36" t="s">
        <v>1022</v>
      </c>
      <c r="H167" s="8" t="str">
        <f t="shared" si="5"/>
        <v>amante,302728</v>
      </c>
      <c r="I167" t="s">
        <v>14</v>
      </c>
    </row>
    <row r="168" spans="1:9" ht="12.75">
      <c r="A168" s="2">
        <v>165</v>
      </c>
      <c r="B168" s="8" t="s">
        <v>1019</v>
      </c>
      <c r="C168" s="4" t="s">
        <v>1023</v>
      </c>
      <c r="D168" s="4" t="s">
        <v>1024</v>
      </c>
      <c r="E168" s="5" t="s">
        <v>257</v>
      </c>
      <c r="F168" s="5">
        <v>109537141095</v>
      </c>
      <c r="G168" s="36" t="s">
        <v>1025</v>
      </c>
      <c r="H168" s="8" t="str">
        <f t="shared" si="5"/>
        <v>atienza,302728</v>
      </c>
      <c r="I168" t="s">
        <v>14</v>
      </c>
    </row>
    <row r="169" spans="1:9" ht="12.75">
      <c r="A169" s="2">
        <v>166</v>
      </c>
      <c r="B169" s="8" t="s">
        <v>1019</v>
      </c>
      <c r="C169" s="4" t="s">
        <v>1026</v>
      </c>
      <c r="D169" s="4" t="s">
        <v>1027</v>
      </c>
      <c r="E169" s="5" t="s">
        <v>361</v>
      </c>
      <c r="F169" s="5">
        <v>117446140057</v>
      </c>
      <c r="G169" s="36" t="s">
        <v>1028</v>
      </c>
      <c r="H169" s="8" t="str">
        <f t="shared" si="5"/>
        <v>betita,302728</v>
      </c>
      <c r="I169" t="s">
        <v>14</v>
      </c>
    </row>
    <row r="170" spans="1:9" ht="12.75">
      <c r="A170" s="2">
        <v>167</v>
      </c>
      <c r="B170" s="8" t="s">
        <v>1019</v>
      </c>
      <c r="C170" s="4" t="s">
        <v>136</v>
      </c>
      <c r="D170" s="4" t="s">
        <v>1029</v>
      </c>
      <c r="E170" s="5" t="s">
        <v>268</v>
      </c>
      <c r="F170" s="5">
        <v>117579150049</v>
      </c>
      <c r="G170" s="36" t="s">
        <v>1030</v>
      </c>
      <c r="H170" s="8" t="str">
        <f t="shared" si="5"/>
        <v>caballero,302728</v>
      </c>
      <c r="I170" t="s">
        <v>14</v>
      </c>
    </row>
    <row r="171" spans="1:9" ht="12.75">
      <c r="A171" s="2">
        <v>168</v>
      </c>
      <c r="B171" s="8" t="s">
        <v>1019</v>
      </c>
      <c r="C171" s="4" t="s">
        <v>1031</v>
      </c>
      <c r="D171" s="4" t="s">
        <v>1032</v>
      </c>
      <c r="E171" s="5" t="s">
        <v>255</v>
      </c>
      <c r="F171" s="5">
        <v>117567150086</v>
      </c>
      <c r="G171" s="36" t="s">
        <v>1033</v>
      </c>
      <c r="H171" s="8" t="str">
        <f t="shared" si="5"/>
        <v>cabodello,302728</v>
      </c>
      <c r="I171" t="s">
        <v>14</v>
      </c>
    </row>
    <row r="172" spans="1:9" ht="12.75">
      <c r="A172" s="2">
        <v>169</v>
      </c>
      <c r="B172" s="8" t="s">
        <v>1019</v>
      </c>
      <c r="C172" s="4" t="s">
        <v>1034</v>
      </c>
      <c r="D172" s="4" t="s">
        <v>1035</v>
      </c>
      <c r="E172" s="5" t="s">
        <v>294</v>
      </c>
      <c r="F172" s="5">
        <v>117579130032</v>
      </c>
      <c r="G172" s="36" t="s">
        <v>1036</v>
      </c>
      <c r="H172" s="8" t="str">
        <f t="shared" si="5"/>
        <v>cantero,302728</v>
      </c>
      <c r="I172" t="s">
        <v>14</v>
      </c>
    </row>
    <row r="173" spans="1:9" ht="12.75">
      <c r="A173" s="2">
        <v>170</v>
      </c>
      <c r="B173" s="8" t="s">
        <v>1019</v>
      </c>
      <c r="C173" s="4" t="s">
        <v>927</v>
      </c>
      <c r="D173" s="4" t="s">
        <v>1037</v>
      </c>
      <c r="E173" s="5" t="s">
        <v>739</v>
      </c>
      <c r="F173" s="5">
        <v>117573160006</v>
      </c>
      <c r="G173" s="36" t="s">
        <v>1038</v>
      </c>
      <c r="H173" s="8" t="str">
        <f t="shared" si="5"/>
        <v>celiz,302728</v>
      </c>
      <c r="I173" t="s">
        <v>14</v>
      </c>
    </row>
    <row r="174" spans="1:9" ht="12.75">
      <c r="A174" s="2">
        <v>171</v>
      </c>
      <c r="B174" s="8" t="s">
        <v>1019</v>
      </c>
      <c r="C174" s="4" t="s">
        <v>1039</v>
      </c>
      <c r="D174" s="4" t="s">
        <v>1040</v>
      </c>
      <c r="E174" s="5" t="s">
        <v>263</v>
      </c>
      <c r="F174" s="5">
        <v>117573150026</v>
      </c>
      <c r="G174" s="36" t="s">
        <v>1041</v>
      </c>
      <c r="H174" s="8" t="str">
        <f t="shared" si="5"/>
        <v>daguio,302728</v>
      </c>
      <c r="I174" t="s">
        <v>14</v>
      </c>
    </row>
    <row r="175" spans="1:9" ht="12.75">
      <c r="A175" s="2">
        <v>172</v>
      </c>
      <c r="B175" s="8" t="s">
        <v>1019</v>
      </c>
      <c r="C175" s="4" t="s">
        <v>1042</v>
      </c>
      <c r="D175" s="4" t="s">
        <v>1043</v>
      </c>
      <c r="E175" s="5" t="s">
        <v>231</v>
      </c>
      <c r="F175" s="5">
        <v>117244150044</v>
      </c>
      <c r="G175" s="36" t="s">
        <v>1044</v>
      </c>
      <c r="H175" s="8" t="str">
        <f t="shared" si="5"/>
        <v>demetaiz,302728</v>
      </c>
      <c r="I175" t="s">
        <v>14</v>
      </c>
    </row>
    <row r="176" spans="1:9" ht="12.75">
      <c r="A176" s="2">
        <v>173</v>
      </c>
      <c r="B176" s="8" t="s">
        <v>1019</v>
      </c>
      <c r="C176" s="4" t="s">
        <v>1045</v>
      </c>
      <c r="D176" s="4" t="s">
        <v>1046</v>
      </c>
      <c r="E176" s="5" t="s">
        <v>294</v>
      </c>
      <c r="F176" s="5">
        <v>117578140026</v>
      </c>
      <c r="G176" s="36" t="s">
        <v>1047</v>
      </c>
      <c r="H176" s="8" t="str">
        <f t="shared" si="5"/>
        <v>despues,302728</v>
      </c>
      <c r="I176" t="s">
        <v>14</v>
      </c>
    </row>
    <row r="177" spans="1:9" ht="12.75">
      <c r="A177" s="2">
        <v>174</v>
      </c>
      <c r="B177" s="8" t="s">
        <v>1019</v>
      </c>
      <c r="C177" s="4" t="s">
        <v>1048</v>
      </c>
      <c r="D177" s="4" t="s">
        <v>1049</v>
      </c>
      <c r="E177" s="5" t="s">
        <v>268</v>
      </c>
      <c r="F177" s="5">
        <v>117566130005</v>
      </c>
      <c r="G177" s="36" t="s">
        <v>1050</v>
      </c>
      <c r="H177" s="8" t="str">
        <f t="shared" si="5"/>
        <v>destriza,302728</v>
      </c>
      <c r="I177" t="s">
        <v>14</v>
      </c>
    </row>
    <row r="178" spans="1:9" ht="12.75">
      <c r="A178" s="2">
        <v>175</v>
      </c>
      <c r="B178" s="8" t="s">
        <v>1019</v>
      </c>
      <c r="C178" s="4" t="s">
        <v>328</v>
      </c>
      <c r="D178" s="4" t="s">
        <v>1051</v>
      </c>
      <c r="E178" s="5" t="s">
        <v>263</v>
      </c>
      <c r="F178" s="5">
        <v>117250150044</v>
      </c>
      <c r="G178" s="36" t="s">
        <v>1052</v>
      </c>
      <c r="H178" s="8" t="str">
        <f t="shared" si="5"/>
        <v>dioso,302728</v>
      </c>
      <c r="I178" t="s">
        <v>46</v>
      </c>
    </row>
    <row r="179" spans="1:9" ht="12.75">
      <c r="A179" s="2">
        <v>176</v>
      </c>
      <c r="B179" s="8" t="s">
        <v>1019</v>
      </c>
      <c r="C179" s="4" t="s">
        <v>1053</v>
      </c>
      <c r="D179" s="4" t="s">
        <v>394</v>
      </c>
      <c r="E179" s="5" t="s">
        <v>239</v>
      </c>
      <c r="F179" s="5">
        <v>117573130038</v>
      </c>
      <c r="G179" s="36" t="s">
        <v>1054</v>
      </c>
      <c r="H179" s="8" t="str">
        <f t="shared" si="5"/>
        <v>donguines,302728</v>
      </c>
      <c r="I179" t="s">
        <v>14</v>
      </c>
    </row>
    <row r="180" spans="1:9" ht="12.75">
      <c r="A180" s="2">
        <v>177</v>
      </c>
      <c r="B180" s="8" t="s">
        <v>1019</v>
      </c>
      <c r="C180" s="4" t="s">
        <v>1055</v>
      </c>
      <c r="D180" s="4" t="s">
        <v>1056</v>
      </c>
      <c r="E180" s="5" t="s">
        <v>294</v>
      </c>
      <c r="F180" s="5">
        <v>117563150068</v>
      </c>
      <c r="G180" s="36" t="s">
        <v>1057</v>
      </c>
      <c r="H180" s="8" t="str">
        <f t="shared" si="5"/>
        <v>dono,302728</v>
      </c>
      <c r="I180" t="s">
        <v>14</v>
      </c>
    </row>
    <row r="181" spans="1:9" ht="12.75">
      <c r="A181" s="2">
        <v>178</v>
      </c>
      <c r="B181" s="8" t="s">
        <v>1019</v>
      </c>
      <c r="C181" s="4" t="s">
        <v>1058</v>
      </c>
      <c r="D181" s="4" t="s">
        <v>1059</v>
      </c>
      <c r="E181" s="5" t="s">
        <v>300</v>
      </c>
      <c r="F181" s="5">
        <v>117573160008</v>
      </c>
      <c r="G181" s="36" t="s">
        <v>1060</v>
      </c>
      <c r="H181" s="8" t="str">
        <f t="shared" si="5"/>
        <v>dorona,302728</v>
      </c>
      <c r="I181" t="s">
        <v>14</v>
      </c>
    </row>
    <row r="182" spans="1:9" ht="12.75">
      <c r="A182" s="2">
        <v>179</v>
      </c>
      <c r="B182" s="8" t="s">
        <v>1019</v>
      </c>
      <c r="C182" s="4" t="s">
        <v>1061</v>
      </c>
      <c r="D182" s="4" t="s">
        <v>879</v>
      </c>
      <c r="E182" s="5" t="s">
        <v>255</v>
      </c>
      <c r="F182" s="5">
        <v>117573150033</v>
      </c>
      <c r="G182" s="36" t="s">
        <v>1062</v>
      </c>
      <c r="H182" s="8" t="str">
        <f t="shared" si="5"/>
        <v>epacta,302728</v>
      </c>
      <c r="I182" t="s">
        <v>14</v>
      </c>
    </row>
    <row r="183" spans="1:9" ht="12.75">
      <c r="A183" s="2">
        <v>180</v>
      </c>
      <c r="B183" s="8" t="s">
        <v>1019</v>
      </c>
      <c r="C183" s="4" t="s">
        <v>611</v>
      </c>
      <c r="D183" s="4" t="s">
        <v>1063</v>
      </c>
      <c r="E183" s="5" t="s">
        <v>739</v>
      </c>
      <c r="F183" s="5">
        <v>117244150058</v>
      </c>
      <c r="G183" s="36" t="s">
        <v>1064</v>
      </c>
      <c r="H183" s="8" t="str">
        <f t="shared" si="5"/>
        <v>francisco,302728</v>
      </c>
      <c r="I183" t="s">
        <v>46</v>
      </c>
    </row>
    <row r="184" spans="1:9" ht="12.75">
      <c r="A184" s="2">
        <v>181</v>
      </c>
      <c r="B184" s="8" t="s">
        <v>1019</v>
      </c>
      <c r="C184" s="4" t="s">
        <v>1065</v>
      </c>
      <c r="D184" s="4" t="s">
        <v>1066</v>
      </c>
      <c r="E184" s="5" t="s">
        <v>95</v>
      </c>
      <c r="F184" s="5">
        <v>117574150057</v>
      </c>
      <c r="G184" s="36" t="s">
        <v>1067</v>
      </c>
      <c r="H184" s="8" t="str">
        <f t="shared" si="5"/>
        <v>gudes,302728</v>
      </c>
      <c r="I184" t="s">
        <v>14</v>
      </c>
    </row>
    <row r="185" spans="1:9" ht="12.75">
      <c r="A185" s="2">
        <v>182</v>
      </c>
      <c r="B185" s="8" t="s">
        <v>1019</v>
      </c>
      <c r="C185" s="4" t="s">
        <v>1068</v>
      </c>
      <c r="D185" s="4" t="s">
        <v>1069</v>
      </c>
      <c r="E185" s="5" t="s">
        <v>309</v>
      </c>
      <c r="F185" s="5">
        <v>117719150034</v>
      </c>
      <c r="G185" s="36" t="s">
        <v>1070</v>
      </c>
      <c r="H185" s="8" t="str">
        <f t="shared" si="5"/>
        <v>honrado,302728</v>
      </c>
      <c r="I185" t="s">
        <v>14</v>
      </c>
    </row>
    <row r="186" spans="1:9" ht="12.75">
      <c r="A186" s="2">
        <v>183</v>
      </c>
      <c r="B186" s="8" t="s">
        <v>1019</v>
      </c>
      <c r="C186" s="4" t="s">
        <v>1071</v>
      </c>
      <c r="D186" s="4" t="s">
        <v>1072</v>
      </c>
      <c r="E186" s="5" t="s">
        <v>239</v>
      </c>
      <c r="F186" s="5">
        <v>117567150007</v>
      </c>
      <c r="G186" s="36" t="s">
        <v>1073</v>
      </c>
      <c r="H186" s="8" t="str">
        <f t="shared" si="5"/>
        <v>lamac,302728</v>
      </c>
      <c r="I186" t="s">
        <v>14</v>
      </c>
    </row>
    <row r="187" spans="1:9" ht="12.75">
      <c r="A187" s="2">
        <v>184</v>
      </c>
      <c r="B187" s="8" t="s">
        <v>1019</v>
      </c>
      <c r="C187" s="4" t="s">
        <v>1074</v>
      </c>
      <c r="D187" s="4" t="s">
        <v>1075</v>
      </c>
      <c r="E187" s="5" t="s">
        <v>739</v>
      </c>
      <c r="F187" s="5">
        <v>117578130044</v>
      </c>
      <c r="G187" s="36" t="s">
        <v>1076</v>
      </c>
      <c r="H187" s="8" t="str">
        <f t="shared" si="5"/>
        <v>lozada,302728</v>
      </c>
      <c r="I187" t="s">
        <v>14</v>
      </c>
    </row>
    <row r="188" spans="1:9" ht="12.75">
      <c r="A188" s="2">
        <v>185</v>
      </c>
      <c r="B188" s="8" t="s">
        <v>1019</v>
      </c>
      <c r="C188" s="4" t="s">
        <v>1077</v>
      </c>
      <c r="D188" s="4" t="s">
        <v>1078</v>
      </c>
      <c r="E188" s="5" t="s">
        <v>268</v>
      </c>
      <c r="F188" s="5">
        <v>117488150098</v>
      </c>
      <c r="G188" s="36" t="s">
        <v>1079</v>
      </c>
      <c r="H188" s="8" t="str">
        <f t="shared" si="5"/>
        <v>malinao,302728</v>
      </c>
      <c r="I188" t="s">
        <v>14</v>
      </c>
    </row>
    <row r="189" spans="1:9" ht="12.75">
      <c r="A189" s="2">
        <v>186</v>
      </c>
      <c r="B189" s="8" t="s">
        <v>1019</v>
      </c>
      <c r="C189" s="4" t="s">
        <v>1080</v>
      </c>
      <c r="D189" s="4" t="s">
        <v>1081</v>
      </c>
      <c r="E189" s="5" t="s">
        <v>242</v>
      </c>
      <c r="F189" s="5">
        <v>117573150046</v>
      </c>
      <c r="G189" s="36" t="s">
        <v>1082</v>
      </c>
      <c r="H189" s="8" t="str">
        <f t="shared" si="5"/>
        <v>meraiz,302728</v>
      </c>
      <c r="I189" t="s">
        <v>14</v>
      </c>
    </row>
    <row r="190" spans="1:9" ht="12.75">
      <c r="A190" s="2">
        <v>187</v>
      </c>
      <c r="B190" s="8" t="s">
        <v>1019</v>
      </c>
      <c r="C190" s="4" t="s">
        <v>1083</v>
      </c>
      <c r="D190" s="4" t="s">
        <v>462</v>
      </c>
      <c r="E190" s="5" t="s">
        <v>260</v>
      </c>
      <c r="F190" s="5">
        <v>117244130106</v>
      </c>
      <c r="G190" s="36" t="s">
        <v>1084</v>
      </c>
      <c r="H190" s="8" t="str">
        <f t="shared" ref="H190:H206" si="6">IF(C190="","",LOWER(C190)&amp;",302728")</f>
        <v>miñerva,302728</v>
      </c>
      <c r="I190" t="s">
        <v>14</v>
      </c>
    </row>
    <row r="191" spans="1:9" ht="12.75">
      <c r="A191" s="2">
        <v>188</v>
      </c>
      <c r="B191" s="8" t="s">
        <v>1019</v>
      </c>
      <c r="C191" s="4" t="s">
        <v>11</v>
      </c>
      <c r="D191" s="4" t="s">
        <v>1085</v>
      </c>
      <c r="E191" s="5" t="s">
        <v>263</v>
      </c>
      <c r="F191" s="5">
        <v>117563150069</v>
      </c>
      <c r="G191" s="36" t="s">
        <v>1086</v>
      </c>
      <c r="H191" s="8" t="str">
        <f t="shared" si="6"/>
        <v>aquino,302728</v>
      </c>
      <c r="I191" t="s">
        <v>14</v>
      </c>
    </row>
    <row r="192" spans="1:9" ht="12.75">
      <c r="A192" s="2">
        <v>189</v>
      </c>
      <c r="B192" s="8" t="s">
        <v>1019</v>
      </c>
      <c r="C192" s="4" t="s">
        <v>1087</v>
      </c>
      <c r="D192" s="4" t="s">
        <v>1088</v>
      </c>
      <c r="E192" s="5" t="s">
        <v>255</v>
      </c>
      <c r="F192" s="5">
        <v>117563150043</v>
      </c>
      <c r="G192" s="36" t="s">
        <v>1089</v>
      </c>
      <c r="H192" s="8" t="str">
        <f t="shared" si="6"/>
        <v>britania,302728</v>
      </c>
      <c r="I192" t="s">
        <v>14</v>
      </c>
    </row>
    <row r="193" spans="1:9" ht="12.75">
      <c r="A193" s="2">
        <v>190</v>
      </c>
      <c r="B193" s="8" t="s">
        <v>1019</v>
      </c>
      <c r="C193" s="4" t="s">
        <v>1090</v>
      </c>
      <c r="D193" s="4" t="s">
        <v>1091</v>
      </c>
      <c r="E193" s="5" t="s">
        <v>294</v>
      </c>
      <c r="F193" s="5">
        <v>117530140041</v>
      </c>
      <c r="G193" s="36" t="s">
        <v>1092</v>
      </c>
      <c r="H193" s="8" t="str">
        <f t="shared" si="6"/>
        <v>cabodillo,302728</v>
      </c>
      <c r="I193" t="s">
        <v>14</v>
      </c>
    </row>
    <row r="194" spans="1:9" ht="12.75">
      <c r="A194" s="2">
        <v>191</v>
      </c>
      <c r="B194" s="8" t="s">
        <v>1019</v>
      </c>
      <c r="C194" s="4" t="s">
        <v>316</v>
      </c>
      <c r="D194" s="4" t="s">
        <v>1093</v>
      </c>
      <c r="E194" s="5" t="s">
        <v>239</v>
      </c>
      <c r="F194" s="5">
        <v>117577150008</v>
      </c>
      <c r="G194" s="36" t="s">
        <v>1094</v>
      </c>
      <c r="H194" s="8" t="str">
        <f t="shared" si="6"/>
        <v>dela peña,302728</v>
      </c>
      <c r="I194" t="s">
        <v>14</v>
      </c>
    </row>
    <row r="195" spans="1:9" ht="12.75">
      <c r="A195" s="2">
        <v>192</v>
      </c>
      <c r="B195" s="8" t="s">
        <v>1019</v>
      </c>
      <c r="C195" s="4" t="s">
        <v>530</v>
      </c>
      <c r="D195" s="4" t="s">
        <v>1095</v>
      </c>
      <c r="E195" s="5" t="s">
        <v>231</v>
      </c>
      <c r="F195" s="5">
        <v>117566150009</v>
      </c>
      <c r="G195" s="36" t="s">
        <v>1096</v>
      </c>
      <c r="H195" s="8" t="str">
        <f t="shared" si="6"/>
        <v>domadiego,302728</v>
      </c>
      <c r="I195" t="s">
        <v>14</v>
      </c>
    </row>
    <row r="196" spans="1:9" ht="12.75">
      <c r="A196" s="2">
        <v>193</v>
      </c>
      <c r="B196" s="8" t="s">
        <v>1019</v>
      </c>
      <c r="C196" s="4" t="s">
        <v>1097</v>
      </c>
      <c r="D196" s="4" t="s">
        <v>1098</v>
      </c>
      <c r="E196" s="5" t="s">
        <v>239</v>
      </c>
      <c r="F196" s="5">
        <v>117573150090</v>
      </c>
      <c r="G196" s="36" t="s">
        <v>1099</v>
      </c>
      <c r="H196" s="8" t="str">
        <f t="shared" si="6"/>
        <v>duetes,302728</v>
      </c>
      <c r="I196" t="s">
        <v>14</v>
      </c>
    </row>
    <row r="197" spans="1:9" ht="12.75">
      <c r="A197" s="2">
        <v>194</v>
      </c>
      <c r="B197" s="8" t="s">
        <v>1019</v>
      </c>
      <c r="C197" s="4" t="s">
        <v>1100</v>
      </c>
      <c r="D197" s="4" t="s">
        <v>1101</v>
      </c>
      <c r="E197" s="5" t="s">
        <v>311</v>
      </c>
      <c r="F197" s="5">
        <v>117578130055</v>
      </c>
      <c r="G197" s="36" t="s">
        <v>1102</v>
      </c>
      <c r="H197" s="8" t="str">
        <f t="shared" si="6"/>
        <v>fernandez,302728</v>
      </c>
      <c r="I197" t="s">
        <v>14</v>
      </c>
    </row>
    <row r="198" spans="1:9" ht="12.75">
      <c r="A198" s="2">
        <v>195</v>
      </c>
      <c r="B198" s="8" t="s">
        <v>1019</v>
      </c>
      <c r="C198" s="4" t="s">
        <v>330</v>
      </c>
      <c r="D198" s="4" t="s">
        <v>1103</v>
      </c>
      <c r="E198" s="5" t="s">
        <v>268</v>
      </c>
      <c r="F198" s="5">
        <v>117574150036</v>
      </c>
      <c r="G198" s="36" t="s">
        <v>1104</v>
      </c>
      <c r="H198" s="8" t="str">
        <f t="shared" si="6"/>
        <v>flores,302728</v>
      </c>
      <c r="I198" t="s">
        <v>14</v>
      </c>
    </row>
    <row r="199" spans="1:9" ht="12.75">
      <c r="A199" s="2">
        <v>196</v>
      </c>
      <c r="B199" s="8" t="s">
        <v>1019</v>
      </c>
      <c r="C199" s="4" t="s">
        <v>383</v>
      </c>
      <c r="D199" s="4" t="s">
        <v>1105</v>
      </c>
      <c r="E199" s="5" t="s">
        <v>255</v>
      </c>
      <c r="F199" s="5">
        <v>117573150094</v>
      </c>
      <c r="G199" s="36" t="s">
        <v>1106</v>
      </c>
      <c r="H199" s="8" t="str">
        <f t="shared" si="6"/>
        <v>gonzales,302728</v>
      </c>
      <c r="I199" t="s">
        <v>14</v>
      </c>
    </row>
    <row r="200" spans="1:9" ht="12.75">
      <c r="A200" s="2">
        <v>197</v>
      </c>
      <c r="B200" s="8" t="s">
        <v>1019</v>
      </c>
      <c r="C200" s="4" t="s">
        <v>1107</v>
      </c>
      <c r="D200" s="4" t="s">
        <v>1108</v>
      </c>
      <c r="E200" s="5" t="s">
        <v>239</v>
      </c>
      <c r="F200" s="5">
        <v>117567150060</v>
      </c>
      <c r="G200" s="36" t="s">
        <v>1109</v>
      </c>
      <c r="H200" s="8" t="str">
        <f t="shared" si="6"/>
        <v>heyres,302728</v>
      </c>
      <c r="I200" t="s">
        <v>14</v>
      </c>
    </row>
    <row r="201" spans="1:9" ht="12.75">
      <c r="A201" s="2">
        <v>198</v>
      </c>
      <c r="B201" s="8" t="s">
        <v>1019</v>
      </c>
      <c r="C201" s="4" t="s">
        <v>416</v>
      </c>
      <c r="D201" s="4" t="s">
        <v>1110</v>
      </c>
      <c r="E201" s="5" t="s">
        <v>252</v>
      </c>
      <c r="F201" s="5">
        <v>117573150097</v>
      </c>
      <c r="G201" s="36" t="s">
        <v>1111</v>
      </c>
      <c r="H201" s="8" t="str">
        <f t="shared" si="6"/>
        <v>jordan,302728</v>
      </c>
      <c r="I201" t="s">
        <v>14</v>
      </c>
    </row>
    <row r="202" spans="1:9" ht="12.75">
      <c r="A202" s="2">
        <v>199</v>
      </c>
      <c r="B202" s="8" t="s">
        <v>1019</v>
      </c>
      <c r="C202" s="4" t="s">
        <v>942</v>
      </c>
      <c r="D202" s="4" t="s">
        <v>1112</v>
      </c>
      <c r="E202" s="5" t="s">
        <v>252</v>
      </c>
      <c r="F202" s="5">
        <v>117575150058</v>
      </c>
      <c r="G202" s="36" t="s">
        <v>1113</v>
      </c>
      <c r="H202" s="8" t="str">
        <f t="shared" si="6"/>
        <v>labrador,302728</v>
      </c>
      <c r="I202" t="s">
        <v>46</v>
      </c>
    </row>
    <row r="203" spans="1:9" ht="12.75">
      <c r="A203" s="2">
        <v>200</v>
      </c>
      <c r="B203" s="8" t="s">
        <v>1019</v>
      </c>
      <c r="C203" s="4" t="s">
        <v>821</v>
      </c>
      <c r="D203" s="4" t="s">
        <v>1114</v>
      </c>
      <c r="E203" s="5" t="s">
        <v>242</v>
      </c>
      <c r="F203" s="5">
        <v>117573150101</v>
      </c>
      <c r="G203" s="36" t="s">
        <v>1115</v>
      </c>
      <c r="H203" s="8" t="str">
        <f t="shared" si="6"/>
        <v>lanotes,302728</v>
      </c>
      <c r="I203" t="s">
        <v>14</v>
      </c>
    </row>
    <row r="204" spans="1:9" ht="12.75">
      <c r="A204" s="2">
        <v>201</v>
      </c>
      <c r="B204" s="8" t="s">
        <v>1019</v>
      </c>
      <c r="C204" s="4" t="s">
        <v>1116</v>
      </c>
      <c r="D204" s="4" t="s">
        <v>1117</v>
      </c>
      <c r="E204" s="5" t="s">
        <v>263</v>
      </c>
      <c r="F204" s="5">
        <v>117244150036</v>
      </c>
      <c r="G204" s="36" t="s">
        <v>1118</v>
      </c>
      <c r="H204" s="8" t="str">
        <f t="shared" si="6"/>
        <v>lardero,302728</v>
      </c>
      <c r="I204" t="s">
        <v>14</v>
      </c>
    </row>
    <row r="205" spans="1:9" ht="12.75">
      <c r="A205" s="2">
        <v>202</v>
      </c>
      <c r="B205" s="8" t="s">
        <v>1019</v>
      </c>
      <c r="C205" s="4" t="s">
        <v>1119</v>
      </c>
      <c r="D205" s="4" t="s">
        <v>1120</v>
      </c>
      <c r="E205" s="5" t="s">
        <v>294</v>
      </c>
      <c r="F205" s="5">
        <v>117244150039</v>
      </c>
      <c r="G205" s="36" t="s">
        <v>1121</v>
      </c>
      <c r="H205" s="8" t="str">
        <f t="shared" si="6"/>
        <v>salem,302728</v>
      </c>
      <c r="I205" t="s">
        <v>14</v>
      </c>
    </row>
    <row r="206" spans="1:9" ht="12.75">
      <c r="A206" s="2">
        <v>203</v>
      </c>
      <c r="B206" s="8" t="s">
        <v>1019</v>
      </c>
      <c r="C206" s="4" t="s">
        <v>186</v>
      </c>
      <c r="D206" s="4" t="s">
        <v>1122</v>
      </c>
      <c r="E206" s="5" t="s">
        <v>294</v>
      </c>
      <c r="F206" s="5">
        <v>117563150026</v>
      </c>
      <c r="G206" s="36" t="s">
        <v>1123</v>
      </c>
      <c r="H206" s="8" t="str">
        <f t="shared" si="6"/>
        <v>sinayo,302728</v>
      </c>
      <c r="I206" t="s">
        <v>14</v>
      </c>
    </row>
    <row r="207" spans="1:9" ht="14.25">
      <c r="A207" s="2">
        <v>204</v>
      </c>
      <c r="B207" s="8" t="s">
        <v>1124</v>
      </c>
      <c r="C207" s="39" t="s">
        <v>1125</v>
      </c>
      <c r="D207" s="4"/>
      <c r="E207" s="5"/>
      <c r="F207" s="25">
        <v>117566130002</v>
      </c>
      <c r="G207" s="7" t="str">
        <f t="shared" ref="G207:G270" si="7">IF(F207="","",F207&amp;"@r6-1.deped.gov.ph")</f>
        <v>117566130002@r6-1.deped.gov.ph</v>
      </c>
      <c r="H207" s="8" t="str">
        <f>IF(C207="","",LOWER(LEFT(C207,FIND(",",C207&amp;",")-1))&amp;",302728")</f>
        <v>biene,302728</v>
      </c>
      <c r="I207" t="s">
        <v>14</v>
      </c>
    </row>
    <row r="208" spans="1:9" ht="14.25">
      <c r="A208" s="2">
        <v>205</v>
      </c>
      <c r="B208" s="8" t="s">
        <v>1124</v>
      </c>
      <c r="C208" s="40" t="s">
        <v>1126</v>
      </c>
      <c r="D208" s="35"/>
      <c r="E208" s="5"/>
      <c r="F208" s="27">
        <v>117250150095</v>
      </c>
      <c r="G208" s="7" t="str">
        <f t="shared" si="7"/>
        <v>117250150095@r6-1.deped.gov.ph</v>
      </c>
      <c r="H208" s="8" t="str">
        <f>IF(C208="","",LOWER(LEFT(C208,FIND(",",C208&amp;",")-1))&amp;",302728")</f>
        <v>calma,302728</v>
      </c>
      <c r="I208" t="s">
        <v>46</v>
      </c>
    </row>
    <row r="209" spans="1:9" ht="14.25">
      <c r="A209" s="2">
        <v>206</v>
      </c>
      <c r="B209" s="8" t="s">
        <v>1124</v>
      </c>
      <c r="C209" s="40" t="s">
        <v>1127</v>
      </c>
      <c r="D209" s="35"/>
      <c r="E209" s="5"/>
      <c r="F209" s="27">
        <v>117573160009</v>
      </c>
      <c r="G209" s="7" t="str">
        <f t="shared" si="7"/>
        <v>117573160009@r6-1.deped.gov.ph</v>
      </c>
      <c r="H209" s="8" t="str">
        <f t="shared" ref="H209:H250" si="8">IF(C209="","",LOWER(LEFT(C209,FIND(",",C209&amp;",")-1))&amp;",302728")</f>
        <v>cantua,302728</v>
      </c>
      <c r="I209" t="s">
        <v>14</v>
      </c>
    </row>
    <row r="210" spans="1:9" ht="14.25">
      <c r="A210" s="2">
        <v>207</v>
      </c>
      <c r="B210" s="8" t="s">
        <v>1124</v>
      </c>
      <c r="C210" s="40" t="s">
        <v>1128</v>
      </c>
      <c r="D210" s="35"/>
      <c r="E210" s="5"/>
      <c r="F210" s="27">
        <v>117253140014</v>
      </c>
      <c r="G210" s="7" t="str">
        <f t="shared" si="7"/>
        <v>117253140014@r6-1.deped.gov.ph</v>
      </c>
      <c r="H210" s="8" t="str">
        <f t="shared" si="8"/>
        <v>chavez,302728</v>
      </c>
      <c r="I210" t="s">
        <v>46</v>
      </c>
    </row>
    <row r="211" spans="1:9" ht="14.25">
      <c r="A211" s="2">
        <v>208</v>
      </c>
      <c r="B211" s="8" t="s">
        <v>1124</v>
      </c>
      <c r="C211" s="40" t="s">
        <v>1129</v>
      </c>
      <c r="D211" s="35"/>
      <c r="E211" s="5"/>
      <c r="F211" s="27">
        <v>117250160048</v>
      </c>
      <c r="G211" s="7" t="str">
        <f t="shared" si="7"/>
        <v>117250160048@r6-1.deped.gov.ph</v>
      </c>
      <c r="H211" s="8" t="str">
        <f t="shared" si="8"/>
        <v>colmo,302728</v>
      </c>
      <c r="I211" t="s">
        <v>14</v>
      </c>
    </row>
    <row r="212" spans="1:9" ht="14.25">
      <c r="A212" s="2">
        <v>209</v>
      </c>
      <c r="B212" s="8" t="s">
        <v>1124</v>
      </c>
      <c r="C212" s="40" t="s">
        <v>1130</v>
      </c>
      <c r="D212" s="35"/>
      <c r="E212" s="5"/>
      <c r="F212" s="27">
        <v>117566140006</v>
      </c>
      <c r="G212" s="7" t="str">
        <f t="shared" si="7"/>
        <v>117566140006@r6-1.deped.gov.ph</v>
      </c>
      <c r="H212" s="8" t="str">
        <f t="shared" si="8"/>
        <v>cueva,302728</v>
      </c>
      <c r="I212" t="s">
        <v>14</v>
      </c>
    </row>
    <row r="213" spans="1:9" ht="14.25">
      <c r="A213" s="2">
        <v>210</v>
      </c>
      <c r="B213" s="8" t="s">
        <v>1124</v>
      </c>
      <c r="C213" s="40" t="s">
        <v>1131</v>
      </c>
      <c r="D213" s="35"/>
      <c r="E213" s="5"/>
      <c r="F213" s="27">
        <v>117444140065</v>
      </c>
      <c r="G213" s="7" t="str">
        <f t="shared" si="7"/>
        <v>117444140065@r6-1.deped.gov.ph</v>
      </c>
      <c r="H213" s="8" t="str">
        <f t="shared" si="8"/>
        <v>dalida,302728</v>
      </c>
      <c r="I213" t="s">
        <v>46</v>
      </c>
    </row>
    <row r="214" spans="1:9" ht="14.25">
      <c r="A214" s="2">
        <v>211</v>
      </c>
      <c r="B214" s="8" t="s">
        <v>1124</v>
      </c>
      <c r="C214" s="40" t="s">
        <v>1132</v>
      </c>
      <c r="D214" s="35"/>
      <c r="E214" s="5"/>
      <c r="F214" s="27">
        <v>117244150050</v>
      </c>
      <c r="G214" s="7" t="str">
        <f t="shared" si="7"/>
        <v>117244150050@r6-1.deped.gov.ph</v>
      </c>
      <c r="H214" s="8" t="str">
        <f t="shared" si="8"/>
        <v>dela vega,302728</v>
      </c>
      <c r="I214" t="s">
        <v>14</v>
      </c>
    </row>
    <row r="215" spans="1:9" ht="14.25">
      <c r="A215" s="2">
        <v>212</v>
      </c>
      <c r="B215" s="8" t="s">
        <v>1124</v>
      </c>
      <c r="C215" s="40" t="s">
        <v>1133</v>
      </c>
      <c r="D215" s="35"/>
      <c r="E215" s="5"/>
      <c r="F215" s="27">
        <v>136891141154</v>
      </c>
      <c r="G215" s="7" t="str">
        <f t="shared" si="7"/>
        <v>136891141154@r6-1.deped.gov.ph</v>
      </c>
      <c r="H215" s="8" t="str">
        <f t="shared" si="8"/>
        <v>estioco,302728</v>
      </c>
      <c r="I215" t="s">
        <v>14</v>
      </c>
    </row>
    <row r="216" spans="1:9" ht="14.25">
      <c r="A216" s="2">
        <v>213</v>
      </c>
      <c r="B216" s="8" t="s">
        <v>1124</v>
      </c>
      <c r="C216" s="40" t="s">
        <v>1134</v>
      </c>
      <c r="D216" s="35"/>
      <c r="E216" s="5"/>
      <c r="F216" s="27">
        <v>442003150012</v>
      </c>
      <c r="G216" s="7" t="str">
        <f t="shared" si="7"/>
        <v>442003150012@r6-1.deped.gov.ph</v>
      </c>
      <c r="H216" s="8" t="str">
        <f t="shared" si="8"/>
        <v>hermoso,302728</v>
      </c>
      <c r="I216" t="s">
        <v>14</v>
      </c>
    </row>
    <row r="217" spans="1:9" ht="14.25">
      <c r="A217" s="2">
        <v>214</v>
      </c>
      <c r="B217" s="8" t="s">
        <v>1124</v>
      </c>
      <c r="C217" s="40" t="s">
        <v>1135</v>
      </c>
      <c r="D217" s="35"/>
      <c r="E217" s="5"/>
      <c r="F217" s="27">
        <v>117567150049</v>
      </c>
      <c r="G217" s="7" t="str">
        <f t="shared" si="7"/>
        <v>117567150049@r6-1.deped.gov.ph</v>
      </c>
      <c r="H217" s="8" t="str">
        <f t="shared" si="8"/>
        <v>heyres,302728</v>
      </c>
      <c r="I217" t="s">
        <v>14</v>
      </c>
    </row>
    <row r="218" spans="1:9" ht="14.25">
      <c r="A218" s="2">
        <v>215</v>
      </c>
      <c r="B218" s="8" t="s">
        <v>1124</v>
      </c>
      <c r="C218" s="40" t="s">
        <v>1136</v>
      </c>
      <c r="D218" s="35"/>
      <c r="E218" s="5"/>
      <c r="F218" s="27">
        <v>117573150038</v>
      </c>
      <c r="G218" s="7" t="str">
        <f t="shared" si="7"/>
        <v>117573150038@r6-1.deped.gov.ph</v>
      </c>
      <c r="H218" s="8" t="str">
        <f t="shared" si="8"/>
        <v>jayawon,302728</v>
      </c>
      <c r="I218" t="s">
        <v>14</v>
      </c>
    </row>
    <row r="219" spans="1:9" ht="14.25">
      <c r="A219" s="2">
        <v>216</v>
      </c>
      <c r="B219" s="8" t="s">
        <v>1124</v>
      </c>
      <c r="C219" s="40" t="s">
        <v>1137</v>
      </c>
      <c r="D219" s="35"/>
      <c r="E219" s="5"/>
      <c r="F219" s="27">
        <v>117573150043</v>
      </c>
      <c r="G219" s="7" t="str">
        <f t="shared" si="7"/>
        <v>117573150043@r6-1.deped.gov.ph</v>
      </c>
      <c r="H219" s="8" t="str">
        <f t="shared" si="8"/>
        <v>lozada,302728</v>
      </c>
      <c r="I219" t="s">
        <v>14</v>
      </c>
    </row>
    <row r="220" spans="1:9" ht="14.25">
      <c r="A220" s="2">
        <v>217</v>
      </c>
      <c r="B220" s="8" t="s">
        <v>1124</v>
      </c>
      <c r="C220" s="40" t="s">
        <v>1138</v>
      </c>
      <c r="D220" s="35"/>
      <c r="E220" s="5"/>
      <c r="F220" s="27">
        <v>117244150061</v>
      </c>
      <c r="G220" s="7" t="str">
        <f t="shared" si="7"/>
        <v>117244150061@r6-1.deped.gov.ph</v>
      </c>
      <c r="H220" s="8" t="str">
        <f t="shared" si="8"/>
        <v>manata,302728</v>
      </c>
      <c r="I220" t="s">
        <v>14</v>
      </c>
    </row>
    <row r="221" spans="1:9" ht="14.25">
      <c r="A221" s="2">
        <v>218</v>
      </c>
      <c r="B221" s="8" t="s">
        <v>1124</v>
      </c>
      <c r="C221" s="40" t="s">
        <v>1139</v>
      </c>
      <c r="D221" s="35"/>
      <c r="E221" s="5"/>
      <c r="F221" s="27">
        <v>117243140035</v>
      </c>
      <c r="G221" s="7" t="str">
        <f t="shared" si="7"/>
        <v>117243140035@r6-1.deped.gov.ph</v>
      </c>
      <c r="H221" s="8" t="str">
        <f t="shared" si="8"/>
        <v>manzo,302728</v>
      </c>
      <c r="I221" t="s">
        <v>46</v>
      </c>
    </row>
    <row r="222" spans="1:9" ht="14.25">
      <c r="A222" s="2">
        <v>219</v>
      </c>
      <c r="B222" s="8" t="s">
        <v>1124</v>
      </c>
      <c r="C222" s="40" t="s">
        <v>1140</v>
      </c>
      <c r="D222" s="35"/>
      <c r="E222" s="5"/>
      <c r="F222" s="27">
        <v>117537130008</v>
      </c>
      <c r="G222" s="7" t="str">
        <f t="shared" si="7"/>
        <v>117537130008@r6-1.deped.gov.ph</v>
      </c>
      <c r="H222" s="8" t="str">
        <f t="shared" si="8"/>
        <v>nierves,302728</v>
      </c>
      <c r="I222" t="s">
        <v>46</v>
      </c>
    </row>
    <row r="223" spans="1:9" ht="14.25">
      <c r="A223" s="2">
        <v>220</v>
      </c>
      <c r="B223" s="8" t="s">
        <v>1124</v>
      </c>
      <c r="C223" s="40" t="s">
        <v>1141</v>
      </c>
      <c r="D223" s="35"/>
      <c r="E223" s="5"/>
      <c r="F223" s="27">
        <v>117573160010</v>
      </c>
      <c r="G223" s="7" t="str">
        <f t="shared" si="7"/>
        <v>117573160010@r6-1.deped.gov.ph</v>
      </c>
      <c r="H223" s="8" t="str">
        <f t="shared" si="8"/>
        <v>onates,302728</v>
      </c>
      <c r="I223" t="s">
        <v>14</v>
      </c>
    </row>
    <row r="224" spans="1:9" ht="14.25">
      <c r="A224" s="2">
        <v>221</v>
      </c>
      <c r="B224" s="8" t="s">
        <v>1124</v>
      </c>
      <c r="C224" s="40" t="s">
        <v>1142</v>
      </c>
      <c r="D224" s="35"/>
      <c r="E224" s="5"/>
      <c r="F224" s="27">
        <v>117244150063</v>
      </c>
      <c r="G224" s="7" t="str">
        <f t="shared" si="7"/>
        <v>117244150063@r6-1.deped.gov.ph</v>
      </c>
      <c r="H224" s="8" t="str">
        <f t="shared" si="8"/>
        <v>palma,302728</v>
      </c>
      <c r="I224" t="s">
        <v>14</v>
      </c>
    </row>
    <row r="225" spans="1:9" ht="14.25">
      <c r="A225" s="2">
        <v>222</v>
      </c>
      <c r="B225" s="8" t="s">
        <v>1124</v>
      </c>
      <c r="C225" s="40" t="s">
        <v>1143</v>
      </c>
      <c r="D225" s="35"/>
      <c r="E225" s="5"/>
      <c r="F225" s="27">
        <v>117573150120</v>
      </c>
      <c r="G225" s="7" t="str">
        <f t="shared" si="7"/>
        <v>117573150120@r6-1.deped.gov.ph</v>
      </c>
      <c r="H225" s="8" t="str">
        <f t="shared" si="8"/>
        <v>parado,302728</v>
      </c>
      <c r="I225" t="s">
        <v>14</v>
      </c>
    </row>
    <row r="226" spans="1:9" ht="14.25">
      <c r="A226" s="2">
        <v>223</v>
      </c>
      <c r="B226" s="8" t="s">
        <v>1124</v>
      </c>
      <c r="C226" s="40" t="s">
        <v>1144</v>
      </c>
      <c r="D226" s="35"/>
      <c r="E226" s="5"/>
      <c r="F226" s="27">
        <v>117573150050</v>
      </c>
      <c r="G226" s="7" t="str">
        <f t="shared" si="7"/>
        <v>117573150050@r6-1.deped.gov.ph</v>
      </c>
      <c r="H226" s="8" t="str">
        <f t="shared" si="8"/>
        <v>parcon,302728</v>
      </c>
      <c r="I226" t="s">
        <v>14</v>
      </c>
    </row>
    <row r="227" spans="1:9" ht="14.25">
      <c r="A227" s="2">
        <v>224</v>
      </c>
      <c r="B227" s="8" t="s">
        <v>1124</v>
      </c>
      <c r="C227" s="40" t="s">
        <v>1145</v>
      </c>
      <c r="D227" s="35"/>
      <c r="E227" s="5"/>
      <c r="F227" s="27">
        <v>117573150081</v>
      </c>
      <c r="G227" s="7" t="str">
        <f t="shared" si="7"/>
        <v>117573150081@r6-1.deped.gov.ph</v>
      </c>
      <c r="H227" s="8" t="str">
        <f t="shared" si="8"/>
        <v>sabayton,302728</v>
      </c>
      <c r="I227" t="s">
        <v>14</v>
      </c>
    </row>
    <row r="228" spans="1:9" ht="14.25">
      <c r="A228" s="2">
        <v>225</v>
      </c>
      <c r="B228" s="8" t="s">
        <v>1124</v>
      </c>
      <c r="C228" s="40" t="s">
        <v>1146</v>
      </c>
      <c r="D228" s="35"/>
      <c r="E228" s="5"/>
      <c r="F228" s="27">
        <v>117244150024</v>
      </c>
      <c r="G228" s="7" t="str">
        <f t="shared" si="7"/>
        <v>117244150024@r6-1.deped.gov.ph</v>
      </c>
      <c r="H228" s="8" t="str">
        <f t="shared" si="8"/>
        <v>salipod,302728</v>
      </c>
      <c r="I228" t="s">
        <v>14</v>
      </c>
    </row>
    <row r="229" spans="1:9" ht="14.25">
      <c r="A229" s="2">
        <v>226</v>
      </c>
      <c r="B229" s="8" t="s">
        <v>1124</v>
      </c>
      <c r="C229" s="40" t="s">
        <v>1147</v>
      </c>
      <c r="D229" s="35"/>
      <c r="E229" s="5"/>
      <c r="F229" s="27">
        <v>117573150073</v>
      </c>
      <c r="G229" s="7" t="str">
        <f t="shared" si="7"/>
        <v>117573150073@r6-1.deped.gov.ph</v>
      </c>
      <c r="H229" s="8" t="str">
        <f t="shared" si="8"/>
        <v>ticar,302728</v>
      </c>
      <c r="I229" t="s">
        <v>14</v>
      </c>
    </row>
    <row r="230" spans="1:9" ht="14.25">
      <c r="A230" s="2">
        <v>227</v>
      </c>
      <c r="B230" s="8" t="s">
        <v>1124</v>
      </c>
      <c r="C230" s="39" t="s">
        <v>1148</v>
      </c>
      <c r="D230" s="7"/>
      <c r="E230" s="8"/>
      <c r="F230" s="25">
        <v>404076150158</v>
      </c>
      <c r="G230" s="7" t="str">
        <f t="shared" si="7"/>
        <v>404076150158@r6-1.deped.gov.ph</v>
      </c>
      <c r="H230" s="8" t="str">
        <f t="shared" si="8"/>
        <v>barte,302728</v>
      </c>
      <c r="I230" t="s">
        <v>14</v>
      </c>
    </row>
    <row r="231" spans="1:9" ht="14.25">
      <c r="A231" s="2">
        <v>228</v>
      </c>
      <c r="B231" s="8" t="s">
        <v>1124</v>
      </c>
      <c r="C231" s="40" t="s">
        <v>1149</v>
      </c>
      <c r="D231" s="7"/>
      <c r="E231" s="8"/>
      <c r="F231" s="27">
        <v>117566150005</v>
      </c>
      <c r="G231" s="7" t="str">
        <f t="shared" si="7"/>
        <v>117566150005@r6-1.deped.gov.ph</v>
      </c>
      <c r="H231" s="8" t="str">
        <f t="shared" si="8"/>
        <v>biene,302728</v>
      </c>
      <c r="I231" t="s">
        <v>14</v>
      </c>
    </row>
    <row r="232" spans="1:9" ht="14.25">
      <c r="A232" s="2">
        <v>229</v>
      </c>
      <c r="B232" s="8" t="s">
        <v>1124</v>
      </c>
      <c r="C232" s="40" t="s">
        <v>1150</v>
      </c>
      <c r="D232" s="7"/>
      <c r="E232" s="8"/>
      <c r="F232" s="27">
        <v>117565150017</v>
      </c>
      <c r="G232" s="7" t="str">
        <f t="shared" si="7"/>
        <v>117565150017@r6-1.deped.gov.ph</v>
      </c>
      <c r="H232" s="8" t="str">
        <f t="shared" si="8"/>
        <v>borce,302728</v>
      </c>
      <c r="I232" t="s">
        <v>14</v>
      </c>
    </row>
    <row r="233" spans="1:9" ht="14.25">
      <c r="A233" s="2">
        <v>230</v>
      </c>
      <c r="B233" s="8" t="s">
        <v>1124</v>
      </c>
      <c r="C233" s="40" t="s">
        <v>1151</v>
      </c>
      <c r="D233" s="7"/>
      <c r="E233" s="8"/>
      <c r="F233" s="27">
        <v>117544150054</v>
      </c>
      <c r="G233" s="7" t="str">
        <f t="shared" si="7"/>
        <v>117544150054@r6-1.deped.gov.ph</v>
      </c>
      <c r="H233" s="8" t="str">
        <f t="shared" si="8"/>
        <v>caracas,302728</v>
      </c>
      <c r="I233" t="s">
        <v>14</v>
      </c>
    </row>
    <row r="234" spans="1:9" ht="14.25">
      <c r="A234" s="2">
        <v>231</v>
      </c>
      <c r="B234" s="8" t="s">
        <v>1124</v>
      </c>
      <c r="C234" s="40" t="s">
        <v>1152</v>
      </c>
      <c r="D234" s="7"/>
      <c r="E234" s="8"/>
      <c r="F234" s="27">
        <v>117566150006</v>
      </c>
      <c r="G234" s="7" t="str">
        <f t="shared" si="7"/>
        <v>117566150006@r6-1.deped.gov.ph</v>
      </c>
      <c r="H234" s="8" t="str">
        <f t="shared" si="8"/>
        <v>caratao,302728</v>
      </c>
      <c r="I234" t="s">
        <v>14</v>
      </c>
    </row>
    <row r="235" spans="1:9" ht="14.25">
      <c r="A235" s="2">
        <v>232</v>
      </c>
      <c r="B235" s="8" t="s">
        <v>1124</v>
      </c>
      <c r="C235" s="40" t="s">
        <v>1153</v>
      </c>
      <c r="D235" s="7"/>
      <c r="E235" s="8"/>
      <c r="F235" s="27">
        <v>117551150034</v>
      </c>
      <c r="G235" s="7" t="str">
        <f t="shared" si="7"/>
        <v>117551150034@r6-1.deped.gov.ph</v>
      </c>
      <c r="H235" s="8" t="str">
        <f t="shared" si="8"/>
        <v>cawit,302728</v>
      </c>
      <c r="I235" t="s">
        <v>14</v>
      </c>
    </row>
    <row r="236" spans="1:9" ht="14.25">
      <c r="A236" s="2">
        <v>233</v>
      </c>
      <c r="B236" s="8" t="s">
        <v>1124</v>
      </c>
      <c r="C236" s="40" t="s">
        <v>1154</v>
      </c>
      <c r="D236" s="7"/>
      <c r="E236" s="8"/>
      <c r="F236" s="27">
        <v>117566140022</v>
      </c>
      <c r="G236" s="7" t="str">
        <f t="shared" si="7"/>
        <v>117566140022@r6-1.deped.gov.ph</v>
      </c>
      <c r="H236" s="8" t="str">
        <f t="shared" si="8"/>
        <v>escaro,302728</v>
      </c>
      <c r="I236" t="s">
        <v>14</v>
      </c>
    </row>
    <row r="237" spans="1:9" ht="14.25">
      <c r="A237" s="2">
        <v>234</v>
      </c>
      <c r="B237" s="8" t="s">
        <v>1124</v>
      </c>
      <c r="C237" s="40" t="s">
        <v>1155</v>
      </c>
      <c r="D237" s="7"/>
      <c r="E237" s="8"/>
      <c r="F237" s="27">
        <v>117573160011</v>
      </c>
      <c r="G237" s="7" t="str">
        <f t="shared" si="7"/>
        <v>117573160011@r6-1.deped.gov.ph</v>
      </c>
      <c r="H237" s="8" t="str">
        <f t="shared" si="8"/>
        <v>evidente,302728</v>
      </c>
      <c r="I237" t="s">
        <v>14</v>
      </c>
    </row>
    <row r="238" spans="1:9" ht="14.25">
      <c r="A238" s="2">
        <v>235</v>
      </c>
      <c r="B238" s="8" t="s">
        <v>1124</v>
      </c>
      <c r="C238" s="40" t="s">
        <v>1156</v>
      </c>
      <c r="D238" s="7"/>
      <c r="E238" s="8"/>
      <c r="F238" s="27">
        <v>117567150061</v>
      </c>
      <c r="G238" s="7" t="str">
        <f t="shared" si="7"/>
        <v>117567150061@r6-1.deped.gov.ph</v>
      </c>
      <c r="H238" s="8" t="str">
        <f t="shared" si="8"/>
        <v>jaspe,302728</v>
      </c>
      <c r="I238" t="s">
        <v>14</v>
      </c>
    </row>
    <row r="239" spans="1:9" ht="14.25">
      <c r="A239" s="2">
        <v>236</v>
      </c>
      <c r="B239" s="8" t="s">
        <v>1124</v>
      </c>
      <c r="C239" s="40" t="s">
        <v>1157</v>
      </c>
      <c r="D239" s="7"/>
      <c r="E239" s="8"/>
      <c r="F239" s="27">
        <v>117573150095</v>
      </c>
      <c r="G239" s="7" t="str">
        <f t="shared" si="7"/>
        <v>117573150095@r6-1.deped.gov.ph</v>
      </c>
      <c r="H239" s="8" t="str">
        <f t="shared" si="8"/>
        <v>java,302728</v>
      </c>
      <c r="I239" t="s">
        <v>14</v>
      </c>
    </row>
    <row r="240" spans="1:9" ht="14.25">
      <c r="A240" s="2">
        <v>237</v>
      </c>
      <c r="B240" s="8" t="s">
        <v>1124</v>
      </c>
      <c r="C240" s="40" t="s">
        <v>1158</v>
      </c>
      <c r="D240" s="7"/>
      <c r="E240" s="8"/>
      <c r="F240" s="27">
        <v>117573150012</v>
      </c>
      <c r="G240" s="7" t="str">
        <f t="shared" si="7"/>
        <v>117573150012@r6-1.deped.gov.ph</v>
      </c>
      <c r="H240" s="8" t="str">
        <f t="shared" si="8"/>
        <v>jayme,302728</v>
      </c>
      <c r="I240" t="s">
        <v>14</v>
      </c>
    </row>
    <row r="241" spans="1:9" ht="14.25">
      <c r="A241" s="2">
        <v>238</v>
      </c>
      <c r="B241" s="8" t="s">
        <v>1124</v>
      </c>
      <c r="C241" s="40" t="s">
        <v>1159</v>
      </c>
      <c r="D241" s="7"/>
      <c r="E241" s="8"/>
      <c r="F241" s="27">
        <v>117573140139</v>
      </c>
      <c r="G241" s="7" t="str">
        <f t="shared" si="7"/>
        <v>117573140139@r6-1.deped.gov.ph</v>
      </c>
      <c r="H241" s="8" t="str">
        <f t="shared" si="8"/>
        <v>lagrimas,302728</v>
      </c>
      <c r="I241" t="s">
        <v>14</v>
      </c>
    </row>
    <row r="242" spans="1:9" ht="14.25">
      <c r="A242" s="2">
        <v>239</v>
      </c>
      <c r="B242" s="8" t="s">
        <v>1124</v>
      </c>
      <c r="C242" s="40" t="s">
        <v>1160</v>
      </c>
      <c r="D242" s="7"/>
      <c r="E242" s="8"/>
      <c r="F242" s="27">
        <v>117254150021</v>
      </c>
      <c r="G242" s="7" t="str">
        <f t="shared" si="7"/>
        <v>117254150021@r6-1.deped.gov.ph</v>
      </c>
      <c r="H242" s="8" t="str">
        <f t="shared" si="8"/>
        <v>lamis,302728</v>
      </c>
      <c r="I242" t="s">
        <v>14</v>
      </c>
    </row>
    <row r="243" spans="1:9" ht="14.25">
      <c r="A243" s="2">
        <v>240</v>
      </c>
      <c r="B243" s="8" t="s">
        <v>1124</v>
      </c>
      <c r="C243" s="40" t="s">
        <v>1161</v>
      </c>
      <c r="D243" s="7"/>
      <c r="E243" s="8"/>
      <c r="F243" s="27">
        <v>117244150076</v>
      </c>
      <c r="G243" s="7" t="str">
        <f t="shared" si="7"/>
        <v>117244150076@r6-1.deped.gov.ph</v>
      </c>
      <c r="H243" s="8" t="str">
        <f t="shared" si="8"/>
        <v>lupena,302728</v>
      </c>
      <c r="I243" t="s">
        <v>14</v>
      </c>
    </row>
    <row r="244" spans="1:9" ht="14.25">
      <c r="A244" s="2">
        <v>241</v>
      </c>
      <c r="B244" s="8" t="s">
        <v>1124</v>
      </c>
      <c r="C244" s="40" t="s">
        <v>1162</v>
      </c>
      <c r="D244" s="7"/>
      <c r="E244" s="8"/>
      <c r="F244" s="27">
        <v>117578150025</v>
      </c>
      <c r="G244" s="7" t="str">
        <f t="shared" si="7"/>
        <v>117578150025@r6-1.deped.gov.ph</v>
      </c>
      <c r="H244" s="8" t="str">
        <f t="shared" si="8"/>
        <v>mijares,302728</v>
      </c>
      <c r="I244" t="s">
        <v>14</v>
      </c>
    </row>
    <row r="245" spans="1:9" ht="14.25">
      <c r="A245" s="2">
        <v>242</v>
      </c>
      <c r="B245" s="8" t="s">
        <v>1124</v>
      </c>
      <c r="C245" s="40" t="s">
        <v>1163</v>
      </c>
      <c r="D245" s="7"/>
      <c r="E245" s="8"/>
      <c r="F245" s="27">
        <v>110477150069</v>
      </c>
      <c r="G245" s="7" t="str">
        <f t="shared" si="7"/>
        <v>110477150069@r6-1.deped.gov.ph</v>
      </c>
      <c r="H245" s="8" t="str">
        <f t="shared" si="8"/>
        <v>moso,302728</v>
      </c>
      <c r="I245" t="s">
        <v>46</v>
      </c>
    </row>
    <row r="246" spans="1:9" ht="14.25">
      <c r="A246" s="2">
        <v>243</v>
      </c>
      <c r="B246" s="8" t="s">
        <v>1124</v>
      </c>
      <c r="C246" s="40" t="s">
        <v>1164</v>
      </c>
      <c r="D246" s="7"/>
      <c r="E246" s="8"/>
      <c r="F246" s="27">
        <v>117254150019</v>
      </c>
      <c r="G246" s="7" t="str">
        <f t="shared" si="7"/>
        <v>117254150019@r6-1.deped.gov.ph</v>
      </c>
      <c r="H246" s="8" t="str">
        <f t="shared" si="8"/>
        <v>pama,302728</v>
      </c>
      <c r="I246" t="s">
        <v>14</v>
      </c>
    </row>
    <row r="247" spans="1:9" ht="14.25">
      <c r="A247" s="2">
        <v>244</v>
      </c>
      <c r="B247" s="8" t="s">
        <v>1124</v>
      </c>
      <c r="C247" s="40" t="s">
        <v>1165</v>
      </c>
      <c r="D247" s="7"/>
      <c r="E247" s="8"/>
      <c r="F247" s="27">
        <v>117568150028</v>
      </c>
      <c r="G247" s="7" t="str">
        <f t="shared" si="7"/>
        <v>117568150028@r6-1.deped.gov.ph</v>
      </c>
      <c r="H247" s="8" t="str">
        <f t="shared" si="8"/>
        <v>robles,302728</v>
      </c>
      <c r="I247" t="s">
        <v>46</v>
      </c>
    </row>
    <row r="248" spans="1:9" ht="14.25">
      <c r="A248" s="2">
        <v>245</v>
      </c>
      <c r="B248" s="8" t="s">
        <v>1124</v>
      </c>
      <c r="C248" s="40" t="s">
        <v>1166</v>
      </c>
      <c r="D248" s="7"/>
      <c r="E248" s="8"/>
      <c r="F248" s="27">
        <v>117522150042</v>
      </c>
      <c r="G248" s="7" t="str">
        <f t="shared" si="7"/>
        <v>117522150042@r6-1.deped.gov.ph</v>
      </c>
      <c r="H248" s="8" t="str">
        <f t="shared" si="8"/>
        <v>senido,302728</v>
      </c>
      <c r="I248" t="s">
        <v>14</v>
      </c>
    </row>
    <row r="249" spans="1:9" ht="14.25">
      <c r="A249" s="2">
        <v>246</v>
      </c>
      <c r="B249" s="8" t="s">
        <v>1124</v>
      </c>
      <c r="C249" s="40" t="s">
        <v>1167</v>
      </c>
      <c r="D249" s="7"/>
      <c r="E249" s="8"/>
      <c r="F249" s="27">
        <v>117112150018</v>
      </c>
      <c r="G249" s="7" t="str">
        <f t="shared" si="7"/>
        <v>117112150018@r6-1.deped.gov.ph</v>
      </c>
      <c r="H249" s="8" t="str">
        <f t="shared" si="8"/>
        <v>serdevilla,302728</v>
      </c>
      <c r="I249" t="s">
        <v>14</v>
      </c>
    </row>
    <row r="250" spans="1:9" ht="12.75">
      <c r="A250" s="2">
        <v>247</v>
      </c>
      <c r="B250" s="8" t="s">
        <v>1124</v>
      </c>
      <c r="C250" s="7" t="s">
        <v>1168</v>
      </c>
      <c r="D250" s="7" t="s">
        <v>1169</v>
      </c>
      <c r="E250" s="8" t="s">
        <v>263</v>
      </c>
      <c r="F250" s="8">
        <v>117250150052</v>
      </c>
      <c r="G250" s="7" t="str">
        <f t="shared" si="7"/>
        <v>117250150052@r6-1.deped.gov.ph</v>
      </c>
      <c r="H250" s="8" t="str">
        <f t="shared" si="8"/>
        <v>ronato,302728</v>
      </c>
      <c r="I250" t="s">
        <v>46</v>
      </c>
    </row>
    <row r="251" spans="1:9">
      <c r="A251" s="2">
        <v>248</v>
      </c>
      <c r="B251" s="8" t="s">
        <v>1170</v>
      </c>
      <c r="C251" s="41" t="s">
        <v>1171</v>
      </c>
      <c r="D251" s="41" t="s">
        <v>249</v>
      </c>
      <c r="E251" s="42" t="s">
        <v>252</v>
      </c>
      <c r="F251" s="42">
        <v>117569140007</v>
      </c>
      <c r="G251" s="7" t="str">
        <f t="shared" si="7"/>
        <v>117569140007@r6-1.deped.gov.ph</v>
      </c>
      <c r="H251" s="8" t="str">
        <f t="shared" ref="H251:H278" si="9">IF(C251="","",LOWER(LEFT(C251,FIND(",",C251&amp;",")-1))&amp;",302728")</f>
        <v>abayon,302728</v>
      </c>
      <c r="I251" t="s">
        <v>14</v>
      </c>
    </row>
    <row r="252" spans="1:9">
      <c r="A252" s="2">
        <v>249</v>
      </c>
      <c r="B252" s="8" t="s">
        <v>1170</v>
      </c>
      <c r="C252" s="41" t="s">
        <v>1172</v>
      </c>
      <c r="D252" s="41" t="s">
        <v>1173</v>
      </c>
      <c r="E252" s="42" t="s">
        <v>245</v>
      </c>
      <c r="F252" s="42">
        <v>117578130039</v>
      </c>
      <c r="G252" s="7" t="str">
        <f t="shared" si="7"/>
        <v>117578130039@r6-1.deped.gov.ph</v>
      </c>
      <c r="H252" s="8" t="str">
        <f t="shared" si="9"/>
        <v>ando,302728</v>
      </c>
      <c r="I252" t="s">
        <v>14</v>
      </c>
    </row>
    <row r="253" spans="1:9">
      <c r="A253" s="2">
        <v>250</v>
      </c>
      <c r="B253" s="8" t="s">
        <v>1170</v>
      </c>
      <c r="C253" s="41" t="s">
        <v>1174</v>
      </c>
      <c r="D253" s="41" t="s">
        <v>1175</v>
      </c>
      <c r="E253" s="42" t="s">
        <v>231</v>
      </c>
      <c r="F253" s="42">
        <v>117569130004</v>
      </c>
      <c r="G253" s="7" t="str">
        <f t="shared" si="7"/>
        <v>117569130004@r6-1.deped.gov.ph</v>
      </c>
      <c r="H253" s="8" t="str">
        <f t="shared" si="9"/>
        <v>gallo,302728</v>
      </c>
      <c r="I253" t="s">
        <v>14</v>
      </c>
    </row>
    <row r="254" spans="1:9">
      <c r="A254" s="2">
        <v>251</v>
      </c>
      <c r="B254" s="8" t="s">
        <v>1170</v>
      </c>
      <c r="C254" s="41" t="s">
        <v>1176</v>
      </c>
      <c r="D254" s="41" t="s">
        <v>1177</v>
      </c>
      <c r="E254" s="42" t="s">
        <v>255</v>
      </c>
      <c r="F254" s="42">
        <v>117569120011</v>
      </c>
      <c r="G254" s="7" t="str">
        <f t="shared" si="7"/>
        <v>117569120011@r6-1.deped.gov.ph</v>
      </c>
      <c r="H254" s="8" t="str">
        <f t="shared" si="9"/>
        <v>gantalao,302728</v>
      </c>
      <c r="I254" t="s">
        <v>14</v>
      </c>
    </row>
    <row r="255" spans="1:9">
      <c r="A255" s="2">
        <v>252</v>
      </c>
      <c r="B255" s="8" t="s">
        <v>1170</v>
      </c>
      <c r="C255" s="41" t="s">
        <v>1178</v>
      </c>
      <c r="D255" s="41" t="s">
        <v>127</v>
      </c>
      <c r="E255" s="42" t="s">
        <v>263</v>
      </c>
      <c r="F255" s="42">
        <v>117569150002</v>
      </c>
      <c r="G255" s="7" t="str">
        <f t="shared" si="7"/>
        <v>117569150002@r6-1.deped.gov.ph</v>
      </c>
      <c r="H255" s="8" t="str">
        <f t="shared" si="9"/>
        <v>lumanog,302728</v>
      </c>
      <c r="I255" t="s">
        <v>14</v>
      </c>
    </row>
    <row r="256" spans="1:9">
      <c r="A256" s="2">
        <v>253</v>
      </c>
      <c r="B256" s="8" t="s">
        <v>1170</v>
      </c>
      <c r="C256" s="41" t="s">
        <v>345</v>
      </c>
      <c r="D256" s="41" t="s">
        <v>1179</v>
      </c>
      <c r="E256" s="42" t="s">
        <v>255</v>
      </c>
      <c r="F256" s="42">
        <v>117569120019</v>
      </c>
      <c r="G256" s="7" t="str">
        <f t="shared" si="7"/>
        <v>117569120019@r6-1.deped.gov.ph</v>
      </c>
      <c r="H256" s="8" t="str">
        <f t="shared" si="9"/>
        <v>palma,302728</v>
      </c>
      <c r="I256" t="s">
        <v>14</v>
      </c>
    </row>
    <row r="257" spans="1:9">
      <c r="A257" s="2">
        <v>254</v>
      </c>
      <c r="B257" s="8" t="s">
        <v>1170</v>
      </c>
      <c r="C257" s="41" t="s">
        <v>87</v>
      </c>
      <c r="D257" s="41" t="s">
        <v>1180</v>
      </c>
      <c r="E257" s="42" t="s">
        <v>242</v>
      </c>
      <c r="F257" s="42">
        <v>117569130006</v>
      </c>
      <c r="G257" s="7" t="str">
        <f t="shared" si="7"/>
        <v>117569130006@r6-1.deped.gov.ph</v>
      </c>
      <c r="H257" s="8" t="str">
        <f t="shared" si="9"/>
        <v>santiana,302728</v>
      </c>
      <c r="I257" t="s">
        <v>14</v>
      </c>
    </row>
    <row r="258" spans="1:9">
      <c r="A258" s="2">
        <v>255</v>
      </c>
      <c r="B258" s="8" t="s">
        <v>1170</v>
      </c>
      <c r="C258" s="41" t="s">
        <v>719</v>
      </c>
      <c r="D258" s="41" t="s">
        <v>1181</v>
      </c>
      <c r="E258" s="43" t="s">
        <v>260</v>
      </c>
      <c r="F258" s="42">
        <v>117569150006</v>
      </c>
      <c r="G258" s="7" t="str">
        <f t="shared" si="7"/>
        <v>117569150006@r6-1.deped.gov.ph</v>
      </c>
      <c r="H258" s="8" t="str">
        <f t="shared" si="9"/>
        <v>balderas,302728</v>
      </c>
      <c r="I258" t="s">
        <v>14</v>
      </c>
    </row>
    <row r="259" spans="1:9">
      <c r="A259" s="2">
        <v>256</v>
      </c>
      <c r="B259" s="8" t="s">
        <v>1170</v>
      </c>
      <c r="C259" s="41" t="s">
        <v>1182</v>
      </c>
      <c r="D259" s="41" t="s">
        <v>1183</v>
      </c>
      <c r="E259" s="43" t="s">
        <v>294</v>
      </c>
      <c r="F259" s="42">
        <v>117587150018</v>
      </c>
      <c r="G259" s="7" t="str">
        <f t="shared" si="7"/>
        <v>117587150018@r6-1.deped.gov.ph</v>
      </c>
      <c r="H259" s="8" t="str">
        <f t="shared" si="9"/>
        <v>cabuslay,302728</v>
      </c>
      <c r="I259" t="s">
        <v>14</v>
      </c>
    </row>
    <row r="260" spans="1:9">
      <c r="A260" s="2">
        <v>257</v>
      </c>
      <c r="B260" s="8" t="s">
        <v>1170</v>
      </c>
      <c r="C260" s="41" t="s">
        <v>1184</v>
      </c>
      <c r="D260" s="41" t="s">
        <v>1185</v>
      </c>
      <c r="E260" s="43" t="s">
        <v>231</v>
      </c>
      <c r="F260" s="42">
        <v>117569150010</v>
      </c>
      <c r="G260" s="7" t="str">
        <f t="shared" si="7"/>
        <v>117569150010@r6-1.deped.gov.ph</v>
      </c>
      <c r="H260" s="8" t="str">
        <f t="shared" si="9"/>
        <v>canlas,302728</v>
      </c>
      <c r="I260" t="s">
        <v>14</v>
      </c>
    </row>
    <row r="261" spans="1:9">
      <c r="A261" s="2">
        <v>258</v>
      </c>
      <c r="B261" s="8" t="s">
        <v>1170</v>
      </c>
      <c r="C261" s="41" t="s">
        <v>1186</v>
      </c>
      <c r="D261" s="41" t="s">
        <v>1187</v>
      </c>
      <c r="E261" s="43" t="s">
        <v>257</v>
      </c>
      <c r="F261" s="42">
        <v>117569150011</v>
      </c>
      <c r="G261" s="7" t="str">
        <f t="shared" si="7"/>
        <v>117569150011@r6-1.deped.gov.ph</v>
      </c>
      <c r="H261" s="8" t="str">
        <f t="shared" si="9"/>
        <v>esconde,302728</v>
      </c>
      <c r="I261" t="s">
        <v>14</v>
      </c>
    </row>
    <row r="262" spans="1:9">
      <c r="A262" s="2">
        <v>259</v>
      </c>
      <c r="B262" s="8" t="s">
        <v>1170</v>
      </c>
      <c r="C262" s="41" t="s">
        <v>863</v>
      </c>
      <c r="D262" s="41" t="s">
        <v>1188</v>
      </c>
      <c r="E262" s="43" t="s">
        <v>294</v>
      </c>
      <c r="F262" s="42">
        <v>117569140022</v>
      </c>
      <c r="G262" s="7" t="str">
        <f t="shared" si="7"/>
        <v>117569140022@r6-1.deped.gov.ph</v>
      </c>
      <c r="H262" s="8" t="str">
        <f t="shared" si="9"/>
        <v>monsay,302728</v>
      </c>
      <c r="I262" t="s">
        <v>14</v>
      </c>
    </row>
    <row r="263" spans="1:9">
      <c r="A263" s="2">
        <v>260</v>
      </c>
      <c r="B263" s="8" t="s">
        <v>1170</v>
      </c>
      <c r="C263" s="41" t="s">
        <v>1189</v>
      </c>
      <c r="D263" s="41" t="s">
        <v>1190</v>
      </c>
      <c r="E263" s="43" t="s">
        <v>311</v>
      </c>
      <c r="F263" s="42">
        <v>117578150001</v>
      </c>
      <c r="G263" s="7" t="str">
        <f t="shared" si="7"/>
        <v>117578150001@r6-1.deped.gov.ph</v>
      </c>
      <c r="H263" s="8" t="str">
        <f t="shared" si="9"/>
        <v>noble,302728</v>
      </c>
      <c r="I263" t="s">
        <v>14</v>
      </c>
    </row>
    <row r="264" spans="1:9">
      <c r="A264" s="2">
        <v>261</v>
      </c>
      <c r="B264" s="8" t="s">
        <v>1170</v>
      </c>
      <c r="C264" s="41" t="s">
        <v>1191</v>
      </c>
      <c r="D264" s="41" t="s">
        <v>1192</v>
      </c>
      <c r="E264" s="43" t="s">
        <v>231</v>
      </c>
      <c r="F264" s="42">
        <v>117569150016</v>
      </c>
      <c r="G264" s="7" t="str">
        <f t="shared" si="7"/>
        <v>117569150016@r6-1.deped.gov.ph</v>
      </c>
      <c r="H264" s="8" t="str">
        <f t="shared" si="9"/>
        <v>pedotche,302728</v>
      </c>
      <c r="I264" t="s">
        <v>14</v>
      </c>
    </row>
    <row r="265" spans="1:9">
      <c r="A265" s="2">
        <v>262</v>
      </c>
      <c r="B265" s="8" t="s">
        <v>1170</v>
      </c>
      <c r="C265" s="41" t="s">
        <v>1193</v>
      </c>
      <c r="D265" s="41" t="s">
        <v>1194</v>
      </c>
      <c r="E265" s="43" t="s">
        <v>263</v>
      </c>
      <c r="F265" s="42">
        <v>117569150018</v>
      </c>
      <c r="G265" s="7" t="str">
        <f t="shared" si="7"/>
        <v>117569150018@r6-1.deped.gov.ph</v>
      </c>
      <c r="H265" s="8" t="str">
        <f t="shared" si="9"/>
        <v>rodriquez,302728</v>
      </c>
      <c r="I265" t="s">
        <v>14</v>
      </c>
    </row>
    <row r="266" spans="1:9">
      <c r="A266" s="2">
        <v>263</v>
      </c>
      <c r="B266" s="8" t="s">
        <v>1195</v>
      </c>
      <c r="C266" s="7" t="s">
        <v>1196</v>
      </c>
      <c r="D266" s="7" t="s">
        <v>1197</v>
      </c>
      <c r="E266" s="8" t="s">
        <v>361</v>
      </c>
      <c r="F266" s="30">
        <v>117573160003</v>
      </c>
      <c r="G266" s="7" t="str">
        <f t="shared" si="7"/>
        <v>117573160003@r6-1.deped.gov.ph</v>
      </c>
      <c r="H266" s="8" t="str">
        <f t="shared" si="9"/>
        <v>benedicto,302728</v>
      </c>
      <c r="I266" t="s">
        <v>14</v>
      </c>
    </row>
    <row r="267" spans="1:9">
      <c r="A267" s="2">
        <v>264</v>
      </c>
      <c r="B267" s="8" t="s">
        <v>1195</v>
      </c>
      <c r="C267" s="7" t="s">
        <v>1198</v>
      </c>
      <c r="D267" s="7" t="s">
        <v>1199</v>
      </c>
      <c r="E267" s="8" t="s">
        <v>268</v>
      </c>
      <c r="F267" s="30">
        <v>117244140007</v>
      </c>
      <c r="G267" s="7" t="str">
        <f t="shared" si="7"/>
        <v>117244140007@r6-1.deped.gov.ph</v>
      </c>
      <c r="H267" s="8" t="str">
        <f t="shared" si="9"/>
        <v>dobrea,302728</v>
      </c>
      <c r="I267" t="s">
        <v>14</v>
      </c>
    </row>
    <row r="268" spans="1:9">
      <c r="A268" s="2">
        <v>265</v>
      </c>
      <c r="B268" s="8" t="s">
        <v>1195</v>
      </c>
      <c r="C268" s="7" t="s">
        <v>1200</v>
      </c>
      <c r="D268" s="7" t="s">
        <v>1201</v>
      </c>
      <c r="E268" s="8" t="s">
        <v>260</v>
      </c>
      <c r="F268" s="30">
        <v>442003150012</v>
      </c>
      <c r="G268" s="7" t="str">
        <f t="shared" si="7"/>
        <v>442003150012@r6-1.deped.gov.ph</v>
      </c>
      <c r="H268" s="8"/>
      <c r="I268" t="s">
        <v>1202</v>
      </c>
    </row>
    <row r="269" spans="1:9">
      <c r="A269" s="2">
        <v>266</v>
      </c>
      <c r="B269" s="8" t="s">
        <v>1195</v>
      </c>
      <c r="C269" s="7" t="s">
        <v>1074</v>
      </c>
      <c r="D269" s="7" t="s">
        <v>1075</v>
      </c>
      <c r="E269" s="8" t="s">
        <v>739</v>
      </c>
      <c r="F269" s="30">
        <v>117578130044</v>
      </c>
      <c r="G269" s="7" t="str">
        <f t="shared" si="7"/>
        <v>117578130044@r6-1.deped.gov.ph</v>
      </c>
      <c r="H269" s="8" t="str">
        <f t="shared" si="9"/>
        <v>lozada,302728</v>
      </c>
      <c r="I269" t="s">
        <v>14</v>
      </c>
    </row>
    <row r="270" spans="1:9">
      <c r="A270" s="2">
        <v>267</v>
      </c>
      <c r="B270" s="8" t="s">
        <v>1195</v>
      </c>
      <c r="C270" s="7" t="s">
        <v>162</v>
      </c>
      <c r="D270" s="7" t="s">
        <v>1203</v>
      </c>
      <c r="E270" s="8" t="s">
        <v>252</v>
      </c>
      <c r="F270" s="30">
        <v>117573150077</v>
      </c>
      <c r="G270" s="7" t="str">
        <f t="shared" si="7"/>
        <v>117573150077@r6-1.deped.gov.ph</v>
      </c>
      <c r="H270" s="8"/>
      <c r="I270" t="s">
        <v>1202</v>
      </c>
    </row>
    <row r="271" spans="1:9">
      <c r="A271" s="2">
        <v>268</v>
      </c>
      <c r="B271" s="8" t="s">
        <v>1195</v>
      </c>
      <c r="C271" s="7" t="s">
        <v>735</v>
      </c>
      <c r="D271" s="7" t="s">
        <v>1204</v>
      </c>
      <c r="E271" s="8" t="s">
        <v>260</v>
      </c>
      <c r="F271" s="30">
        <v>117573140135</v>
      </c>
      <c r="G271" s="7" t="str">
        <f t="shared" ref="G271:G334" si="10">IF(F271="","",F271&amp;"@r6-1.deped.gov.ph")</f>
        <v>117573140135@r6-1.deped.gov.ph</v>
      </c>
      <c r="H271" s="8" t="str">
        <f t="shared" si="9"/>
        <v>diaz,302728</v>
      </c>
      <c r="I271" t="s">
        <v>14</v>
      </c>
    </row>
    <row r="272" spans="1:9">
      <c r="A272" s="2">
        <v>269</v>
      </c>
      <c r="B272" s="8" t="s">
        <v>1195</v>
      </c>
      <c r="C272" s="7" t="s">
        <v>1205</v>
      </c>
      <c r="D272" s="7" t="s">
        <v>1206</v>
      </c>
      <c r="E272" s="8" t="s">
        <v>294</v>
      </c>
      <c r="F272" s="30">
        <v>117572130055</v>
      </c>
      <c r="G272" s="7" t="str">
        <f t="shared" si="10"/>
        <v>117572130055@r6-1.deped.gov.ph</v>
      </c>
      <c r="H272" s="8" t="str">
        <f t="shared" si="9"/>
        <v>yagahon,302728</v>
      </c>
      <c r="I272" t="s">
        <v>14</v>
      </c>
    </row>
    <row r="273" spans="1:9" ht="14.25">
      <c r="A273" s="2">
        <v>270</v>
      </c>
      <c r="B273" s="8" t="s">
        <v>698</v>
      </c>
      <c r="C273" s="31" t="s">
        <v>721</v>
      </c>
      <c r="D273" s="31" t="s">
        <v>722</v>
      </c>
      <c r="E273" s="33" t="s">
        <v>242</v>
      </c>
      <c r="F273" s="27">
        <v>117579150052</v>
      </c>
      <c r="G273" s="7" t="str">
        <f t="shared" si="10"/>
        <v>117579150052@r6-1.deped.gov.ph</v>
      </c>
      <c r="H273" s="8" t="str">
        <f t="shared" si="9"/>
        <v>baulita,302728</v>
      </c>
      <c r="I273" t="s">
        <v>46</v>
      </c>
    </row>
    <row r="274" spans="1:9" ht="12.75">
      <c r="A274" s="2">
        <v>271</v>
      </c>
      <c r="B274" s="8" t="s">
        <v>770</v>
      </c>
      <c r="C274" s="35" t="s">
        <v>796</v>
      </c>
      <c r="D274" s="35" t="s">
        <v>797</v>
      </c>
      <c r="E274" s="5" t="s">
        <v>444</v>
      </c>
      <c r="F274" s="5">
        <v>117574150030</v>
      </c>
      <c r="G274" s="7" t="str">
        <f t="shared" si="10"/>
        <v>117574150030@r6-1.deped.gov.ph</v>
      </c>
      <c r="H274" s="8" t="str">
        <f t="shared" si="9"/>
        <v>amarante,302728</v>
      </c>
      <c r="I274" t="s">
        <v>14</v>
      </c>
    </row>
    <row r="275" spans="1:9" ht="12.75">
      <c r="A275" s="2">
        <v>272</v>
      </c>
      <c r="B275" s="8" t="s">
        <v>770</v>
      </c>
      <c r="C275" s="35" t="s">
        <v>808</v>
      </c>
      <c r="D275" s="35" t="s">
        <v>809</v>
      </c>
      <c r="E275" s="5" t="s">
        <v>231</v>
      </c>
      <c r="F275" s="5">
        <v>117573150088</v>
      </c>
      <c r="G275" s="7" t="str">
        <f t="shared" si="10"/>
        <v>117573150088@r6-1.deped.gov.ph</v>
      </c>
      <c r="H275" s="8" t="str">
        <f t="shared" si="9"/>
        <v>dignadice,302728</v>
      </c>
      <c r="I275" t="s">
        <v>46</v>
      </c>
    </row>
    <row r="276" spans="1:9" ht="12.75">
      <c r="A276" s="2">
        <v>273</v>
      </c>
      <c r="B276" s="8" t="s">
        <v>908</v>
      </c>
      <c r="C276" s="36" t="s">
        <v>978</v>
      </c>
      <c r="D276" s="36" t="s">
        <v>979</v>
      </c>
      <c r="E276" s="37" t="s">
        <v>239</v>
      </c>
      <c r="F276" s="37">
        <v>117250150082</v>
      </c>
      <c r="G276" s="7" t="str">
        <f t="shared" si="10"/>
        <v>117250150082@r6-1.deped.gov.ph</v>
      </c>
      <c r="H276" s="8" t="str">
        <f t="shared" si="9"/>
        <v>alibutdan,302728</v>
      </c>
      <c r="I276" t="s">
        <v>46</v>
      </c>
    </row>
    <row r="277" spans="1:9" ht="12.75">
      <c r="A277" s="2">
        <v>274</v>
      </c>
      <c r="B277" s="8" t="s">
        <v>1019</v>
      </c>
      <c r="C277" s="4" t="s">
        <v>316</v>
      </c>
      <c r="D277" s="4" t="s">
        <v>1093</v>
      </c>
      <c r="E277" s="5" t="s">
        <v>239</v>
      </c>
      <c r="F277" s="5">
        <v>117577150008</v>
      </c>
      <c r="G277" s="7" t="str">
        <f t="shared" si="10"/>
        <v>117577150008@r6-1.deped.gov.ph</v>
      </c>
      <c r="H277" s="8" t="str">
        <f t="shared" si="9"/>
        <v>dela peña,302728</v>
      </c>
      <c r="I277" t="s">
        <v>14</v>
      </c>
    </row>
    <row r="278" spans="1:9" ht="12.75">
      <c r="A278" s="2">
        <v>275</v>
      </c>
      <c r="B278" s="8" t="s">
        <v>1019</v>
      </c>
      <c r="C278" s="4" t="s">
        <v>942</v>
      </c>
      <c r="D278" s="4" t="s">
        <v>1112</v>
      </c>
      <c r="E278" s="5" t="s">
        <v>252</v>
      </c>
      <c r="F278" s="5">
        <v>117575150058</v>
      </c>
      <c r="G278" s="7" t="str">
        <f t="shared" si="10"/>
        <v>117575150058@r6-1.deped.gov.ph</v>
      </c>
      <c r="H278" s="8" t="str">
        <f t="shared" si="9"/>
        <v>labrador,302728</v>
      </c>
      <c r="I278" t="s">
        <v>46</v>
      </c>
    </row>
    <row r="279" spans="1:9" ht="12.75">
      <c r="A279" s="2">
        <v>276</v>
      </c>
      <c r="B279" s="7"/>
      <c r="C279" s="7"/>
      <c r="D279" s="7"/>
      <c r="E279" s="8"/>
      <c r="F279" s="8"/>
      <c r="G279" s="7" t="str">
        <f t="shared" si="10"/>
        <v/>
      </c>
      <c r="H279" s="8"/>
    </row>
    <row r="280" spans="1:9" ht="12.75">
      <c r="A280" s="2">
        <v>277</v>
      </c>
      <c r="B280" s="7"/>
      <c r="C280" s="7"/>
      <c r="D280" s="7"/>
      <c r="E280" s="8"/>
      <c r="F280" s="8"/>
      <c r="G280" s="7" t="str">
        <f t="shared" si="10"/>
        <v/>
      </c>
      <c r="H280" s="8"/>
    </row>
    <row r="281" spans="1:9" ht="12.75">
      <c r="A281" s="2">
        <v>278</v>
      </c>
      <c r="B281" s="7"/>
      <c r="C281" s="7"/>
      <c r="D281" s="7"/>
      <c r="E281" s="8"/>
      <c r="F281" s="8"/>
      <c r="G281" s="7" t="str">
        <f t="shared" si="10"/>
        <v/>
      </c>
      <c r="H281" s="8"/>
    </row>
    <row r="282" spans="1:9" ht="12.75">
      <c r="A282" s="2">
        <v>279</v>
      </c>
      <c r="B282" s="7"/>
      <c r="C282" s="7"/>
      <c r="D282" s="7"/>
      <c r="E282" s="8"/>
      <c r="F282" s="8"/>
      <c r="G282" s="7" t="str">
        <f t="shared" si="10"/>
        <v/>
      </c>
      <c r="H282" s="8"/>
    </row>
    <row r="283" spans="1:9" ht="12.75">
      <c r="A283" s="2">
        <v>280</v>
      </c>
      <c r="B283" s="7"/>
      <c r="C283" s="7"/>
      <c r="D283" s="7"/>
      <c r="E283" s="8"/>
      <c r="F283" s="8"/>
      <c r="G283" s="7" t="str">
        <f t="shared" si="10"/>
        <v/>
      </c>
      <c r="H283" s="8"/>
    </row>
    <row r="284" spans="1:9" ht="12.75">
      <c r="A284" s="2">
        <v>281</v>
      </c>
      <c r="B284" s="7"/>
      <c r="C284" s="7"/>
      <c r="D284" s="7"/>
      <c r="E284" s="8"/>
      <c r="F284" s="8"/>
      <c r="G284" s="7" t="str">
        <f t="shared" si="10"/>
        <v/>
      </c>
      <c r="H284" s="8"/>
    </row>
    <row r="285" spans="1:9" ht="12.75">
      <c r="A285" s="2">
        <v>282</v>
      </c>
      <c r="B285" s="7"/>
      <c r="C285" s="7"/>
      <c r="D285" s="7"/>
      <c r="E285" s="8"/>
      <c r="F285" s="8"/>
      <c r="G285" s="7" t="str">
        <f t="shared" si="10"/>
        <v/>
      </c>
      <c r="H285" s="8"/>
    </row>
    <row r="286" spans="1:9" ht="12.75">
      <c r="A286" s="2">
        <v>283</v>
      </c>
      <c r="B286" s="7"/>
      <c r="C286" s="7"/>
      <c r="D286" s="7"/>
      <c r="E286" s="8"/>
      <c r="F286" s="8"/>
      <c r="G286" s="7" t="str">
        <f t="shared" si="10"/>
        <v/>
      </c>
      <c r="H286" s="8"/>
    </row>
    <row r="287" spans="1:9" ht="12.75">
      <c r="A287" s="2">
        <v>284</v>
      </c>
      <c r="B287" s="7"/>
      <c r="C287" s="7"/>
      <c r="D287" s="7"/>
      <c r="E287" s="8"/>
      <c r="F287" s="8"/>
      <c r="G287" s="7" t="str">
        <f t="shared" si="10"/>
        <v/>
      </c>
      <c r="H287" s="8"/>
    </row>
    <row r="288" spans="1:9" ht="12.75">
      <c r="A288" s="2">
        <v>285</v>
      </c>
      <c r="B288" s="7"/>
      <c r="C288" s="7"/>
      <c r="D288" s="7"/>
      <c r="E288" s="8"/>
      <c r="F288" s="8"/>
      <c r="G288" s="7" t="str">
        <f t="shared" si="10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10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10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10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10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10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10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10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10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10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10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10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10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10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10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10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10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10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10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10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10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10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10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10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10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10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10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10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10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10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10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10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10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10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10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10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10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10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10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10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10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10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10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10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10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10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10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ref="G335:G398" si="11">IF(F335="","",F335&amp;"@r6-1.deped.gov.ph")</f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11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11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11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11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11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11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11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11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11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11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11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11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11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11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11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11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11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11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11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11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11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11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11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11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11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11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11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11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11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11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11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11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11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11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11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11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11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11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11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11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11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11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11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11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11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11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11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11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11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11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11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11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11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11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11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11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11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11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11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11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11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11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11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ref="G399:G462" si="12">IF(F399="","",F399&amp;"@r6-1.deped.gov.ph")</f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12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12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12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12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12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12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12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12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12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12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12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12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12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12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12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12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12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12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12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12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12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12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12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12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12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12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12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12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12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12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12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12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12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12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12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12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12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12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12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12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12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12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12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12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12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12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12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12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12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12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12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12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12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12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12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12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12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12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12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12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12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12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12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ref="G463:G503" si="13">IF(F463="","",F463&amp;"@r6-1.deped.gov.ph")</f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13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13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13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13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13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13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13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13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13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13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13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13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13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13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13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13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13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13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13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13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13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13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13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13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13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13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13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13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13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13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13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13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13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13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13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13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13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13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13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13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2"/>
  <sheetViews>
    <sheetView workbookViewId="0">
      <pane ySplit="3" topLeftCell="A7" activePane="bottomLeft" state="frozen"/>
      <selection pane="bottomLeft" activeCell="E6" sqref="E6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1207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>
      <c r="A4" s="2">
        <v>1</v>
      </c>
      <c r="B4" s="7" t="s">
        <v>1208</v>
      </c>
      <c r="C4" s="29" t="s">
        <v>1209</v>
      </c>
      <c r="D4" s="29" t="s">
        <v>1210</v>
      </c>
      <c r="E4" s="30" t="s">
        <v>239</v>
      </c>
      <c r="F4" s="8">
        <v>117572160128</v>
      </c>
      <c r="G4" s="7" t="str">
        <f t="shared" ref="G4:G34" si="0">IF(F4="","",F4&amp;"@r6-1.deped.gov.ph")</f>
        <v>117572160128@r6-1.deped.gov.ph</v>
      </c>
      <c r="H4" s="8" t="str">
        <f>IF(C4="","",LOWER(C4)&amp;",311401")</f>
        <v>dalmata,311401</v>
      </c>
      <c r="I4" t="s">
        <v>14</v>
      </c>
    </row>
    <row r="5" spans="1:11">
      <c r="A5" s="2">
        <v>2</v>
      </c>
      <c r="B5" s="7" t="s">
        <v>1208</v>
      </c>
      <c r="C5" s="29" t="s">
        <v>1211</v>
      </c>
      <c r="D5" s="29" t="s">
        <v>1212</v>
      </c>
      <c r="E5" s="30" t="s">
        <v>239</v>
      </c>
      <c r="F5" s="8">
        <v>117563150059</v>
      </c>
      <c r="G5" s="7" t="str">
        <f t="shared" si="0"/>
        <v>117563150059@r6-1.deped.gov.ph</v>
      </c>
      <c r="H5" s="8" t="str">
        <f t="shared" ref="H5:H35" si="1">IF(C5="","",LOWER(C5)&amp;",311401")</f>
        <v>diesto,311401</v>
      </c>
      <c r="I5" t="s">
        <v>14</v>
      </c>
    </row>
    <row r="6" spans="1:11">
      <c r="A6" s="2">
        <v>3</v>
      </c>
      <c r="B6" s="7" t="s">
        <v>1208</v>
      </c>
      <c r="C6" s="29" t="s">
        <v>1213</v>
      </c>
      <c r="D6" s="29" t="s">
        <v>1214</v>
      </c>
      <c r="E6" s="30" t="s">
        <v>281</v>
      </c>
      <c r="F6" s="8">
        <v>11756715005</v>
      </c>
      <c r="G6" s="7" t="str">
        <f t="shared" si="0"/>
        <v>11756715005@r6-1.deped.gov.ph</v>
      </c>
      <c r="H6" s="8" t="str">
        <f t="shared" si="1"/>
        <v>dorias,311401</v>
      </c>
      <c r="I6" t="s">
        <v>46</v>
      </c>
    </row>
    <row r="7" spans="1:11">
      <c r="A7" s="2">
        <v>4</v>
      </c>
      <c r="B7" s="7" t="s">
        <v>1208</v>
      </c>
      <c r="C7" s="29" t="s">
        <v>105</v>
      </c>
      <c r="D7" s="29" t="s">
        <v>1215</v>
      </c>
      <c r="E7" s="30" t="s">
        <v>268</v>
      </c>
      <c r="F7" s="8">
        <v>117567150048</v>
      </c>
      <c r="G7" s="7" t="str">
        <f t="shared" si="0"/>
        <v>117567150048@r6-1.deped.gov.ph</v>
      </c>
      <c r="H7" s="8" t="str">
        <f t="shared" si="1"/>
        <v>dorimon,311401</v>
      </c>
      <c r="I7" t="s">
        <v>14</v>
      </c>
    </row>
    <row r="8" spans="1:11">
      <c r="A8" s="2">
        <v>5</v>
      </c>
      <c r="B8" s="7" t="s">
        <v>1208</v>
      </c>
      <c r="C8" s="29" t="s">
        <v>1216</v>
      </c>
      <c r="D8" s="29" t="s">
        <v>1217</v>
      </c>
      <c r="E8" s="30" t="s">
        <v>239</v>
      </c>
      <c r="F8" s="8">
        <v>117394150146</v>
      </c>
      <c r="G8" s="7" t="str">
        <f t="shared" si="0"/>
        <v>117394150146@r6-1.deped.gov.ph</v>
      </c>
      <c r="H8" s="8" t="str">
        <f t="shared" si="1"/>
        <v>enema,311401</v>
      </c>
      <c r="I8" t="s">
        <v>14</v>
      </c>
    </row>
    <row r="9" spans="1:11">
      <c r="A9" s="2">
        <v>6</v>
      </c>
      <c r="B9" s="7" t="s">
        <v>1208</v>
      </c>
      <c r="C9" s="29" t="s">
        <v>1218</v>
      </c>
      <c r="D9" s="29" t="s">
        <v>1219</v>
      </c>
      <c r="E9" s="30"/>
      <c r="F9" s="8">
        <v>117563150035</v>
      </c>
      <c r="G9" s="7" t="str">
        <f t="shared" si="0"/>
        <v>117563150035@r6-1.deped.gov.ph</v>
      </c>
      <c r="H9" s="8" t="str">
        <f t="shared" si="1"/>
        <v>galve,311401</v>
      </c>
      <c r="I9" t="s">
        <v>14</v>
      </c>
    </row>
    <row r="10" spans="1:11">
      <c r="A10" s="2">
        <v>7</v>
      </c>
      <c r="B10" s="7" t="s">
        <v>1208</v>
      </c>
      <c r="C10" s="29" t="s">
        <v>1220</v>
      </c>
      <c r="D10" s="29" t="s">
        <v>1221</v>
      </c>
      <c r="E10" s="30" t="s">
        <v>234</v>
      </c>
      <c r="F10" s="8">
        <v>117567150054</v>
      </c>
      <c r="G10" s="7" t="str">
        <f t="shared" si="0"/>
        <v>117567150054@r6-1.deped.gov.ph</v>
      </c>
      <c r="H10" s="8" t="str">
        <f t="shared" si="1"/>
        <v>tiamsing,311401</v>
      </c>
      <c r="I10" t="s">
        <v>14</v>
      </c>
    </row>
    <row r="11" spans="1:11">
      <c r="A11" s="2">
        <v>8</v>
      </c>
      <c r="B11" s="7" t="s">
        <v>1208</v>
      </c>
      <c r="C11" s="29" t="s">
        <v>399</v>
      </c>
      <c r="D11" s="29" t="s">
        <v>1222</v>
      </c>
      <c r="E11" s="30" t="s">
        <v>260</v>
      </c>
      <c r="F11" s="8">
        <v>117297150033</v>
      </c>
      <c r="G11" s="7" t="str">
        <f t="shared" si="0"/>
        <v>117297150033@r6-1.deped.gov.ph</v>
      </c>
      <c r="H11" s="8" t="str">
        <f t="shared" si="1"/>
        <v>villa,311401</v>
      </c>
      <c r="I11" t="s">
        <v>14</v>
      </c>
    </row>
    <row r="12" spans="1:11" ht="12.75">
      <c r="A12" s="2">
        <v>9</v>
      </c>
      <c r="B12" s="7" t="s">
        <v>1208</v>
      </c>
      <c r="C12" s="7" t="s">
        <v>1223</v>
      </c>
      <c r="D12" s="7" t="s">
        <v>1224</v>
      </c>
      <c r="E12" s="8" t="s">
        <v>263</v>
      </c>
      <c r="F12" s="8">
        <v>117563150014</v>
      </c>
      <c r="G12" s="7" t="str">
        <f t="shared" si="0"/>
        <v>117563150014@r6-1.deped.gov.ph</v>
      </c>
      <c r="H12" s="8" t="str">
        <f t="shared" si="1"/>
        <v>alob,311401</v>
      </c>
      <c r="I12" t="s">
        <v>14</v>
      </c>
    </row>
    <row r="13" spans="1:11" ht="12.75">
      <c r="A13" s="2">
        <v>10</v>
      </c>
      <c r="B13" s="7" t="s">
        <v>1208</v>
      </c>
      <c r="C13" s="7" t="s">
        <v>1225</v>
      </c>
      <c r="D13" s="7" t="s">
        <v>1226</v>
      </c>
      <c r="E13" s="8"/>
      <c r="F13" s="8">
        <v>117565150045</v>
      </c>
      <c r="G13" s="7" t="str">
        <f t="shared" si="0"/>
        <v>117565150045@r6-1.deped.gov.ph</v>
      </c>
      <c r="H13" s="8" t="str">
        <f t="shared" si="1"/>
        <v>artus,311401</v>
      </c>
      <c r="I13" t="s">
        <v>14</v>
      </c>
    </row>
    <row r="14" spans="1:11" ht="12.75">
      <c r="A14" s="2">
        <v>11</v>
      </c>
      <c r="B14" s="7" t="s">
        <v>1208</v>
      </c>
      <c r="C14" s="7" t="s">
        <v>1227</v>
      </c>
      <c r="D14" s="7" t="s">
        <v>94</v>
      </c>
      <c r="E14" s="8"/>
      <c r="F14" s="8">
        <v>136796150051</v>
      </c>
      <c r="G14" s="7" t="str">
        <f t="shared" si="0"/>
        <v>136796150051@r6-1.deped.gov.ph</v>
      </c>
      <c r="H14" s="8" t="str">
        <f t="shared" si="1"/>
        <v>asuncion,311401</v>
      </c>
      <c r="I14" t="s">
        <v>14</v>
      </c>
    </row>
    <row r="15" spans="1:11" ht="12.75">
      <c r="A15" s="2">
        <v>12</v>
      </c>
      <c r="B15" s="7" t="s">
        <v>1208</v>
      </c>
      <c r="C15" s="7" t="s">
        <v>1228</v>
      </c>
      <c r="D15" s="7" t="s">
        <v>1229</v>
      </c>
      <c r="E15" s="8" t="s">
        <v>361</v>
      </c>
      <c r="F15" s="8">
        <v>117567150023</v>
      </c>
      <c r="G15" s="7" t="str">
        <f t="shared" si="0"/>
        <v>117567150023@r6-1.deped.gov.ph</v>
      </c>
      <c r="H15" s="8" t="str">
        <f t="shared" si="1"/>
        <v>blanca,311401</v>
      </c>
      <c r="I15" t="s">
        <v>14</v>
      </c>
    </row>
    <row r="16" spans="1:11" ht="12.75">
      <c r="A16" s="2">
        <v>13</v>
      </c>
      <c r="B16" s="7" t="s">
        <v>1208</v>
      </c>
      <c r="C16" s="7" t="s">
        <v>1230</v>
      </c>
      <c r="D16" s="7" t="s">
        <v>478</v>
      </c>
      <c r="E16" s="8" t="s">
        <v>263</v>
      </c>
      <c r="F16" s="8">
        <v>117567150059</v>
      </c>
      <c r="G16" s="7" t="str">
        <f t="shared" si="0"/>
        <v>117567150059@r6-1.deped.gov.ph</v>
      </c>
      <c r="H16" s="8" t="str">
        <f t="shared" si="1"/>
        <v>cielo,311401</v>
      </c>
      <c r="I16" t="s">
        <v>14</v>
      </c>
    </row>
    <row r="17" spans="1:9" ht="12.75">
      <c r="A17" s="2">
        <v>14</v>
      </c>
      <c r="B17" s="7" t="s">
        <v>1208</v>
      </c>
      <c r="C17" s="7" t="s">
        <v>1231</v>
      </c>
      <c r="D17" s="7" t="s">
        <v>1232</v>
      </c>
      <c r="E17" s="8" t="s">
        <v>263</v>
      </c>
      <c r="F17" s="8">
        <v>117565150019</v>
      </c>
      <c r="G17" s="7" t="str">
        <f t="shared" si="0"/>
        <v>117565150019@r6-1.deped.gov.ph</v>
      </c>
      <c r="H17" s="8" t="str">
        <f t="shared" si="1"/>
        <v>delotina,311401</v>
      </c>
      <c r="I17" t="s">
        <v>14</v>
      </c>
    </row>
    <row r="18" spans="1:9" ht="12.75">
      <c r="A18" s="2">
        <v>15</v>
      </c>
      <c r="B18" s="7" t="s">
        <v>1208</v>
      </c>
      <c r="C18" s="7" t="s">
        <v>1233</v>
      </c>
      <c r="D18" s="7" t="s">
        <v>576</v>
      </c>
      <c r="E18" s="8" t="s">
        <v>245</v>
      </c>
      <c r="F18" s="8">
        <v>117563150019</v>
      </c>
      <c r="G18" s="7" t="str">
        <f t="shared" si="0"/>
        <v>117563150019@r6-1.deped.gov.ph</v>
      </c>
      <c r="H18" s="8" t="str">
        <f t="shared" si="1"/>
        <v>empanado,311401</v>
      </c>
      <c r="I18" t="s">
        <v>14</v>
      </c>
    </row>
    <row r="19" spans="1:9" ht="12.75">
      <c r="A19" s="2">
        <v>16</v>
      </c>
      <c r="B19" s="7" t="s">
        <v>1208</v>
      </c>
      <c r="C19" s="7" t="s">
        <v>1234</v>
      </c>
      <c r="D19" s="7" t="s">
        <v>1235</v>
      </c>
      <c r="E19" s="8"/>
      <c r="F19" s="8">
        <v>117565150022</v>
      </c>
      <c r="G19" s="7" t="str">
        <f t="shared" si="0"/>
        <v>117565150022@r6-1.deped.gov.ph</v>
      </c>
      <c r="H19" s="8" t="str">
        <f t="shared" si="1"/>
        <v>espinase,311401</v>
      </c>
      <c r="I19" t="s">
        <v>14</v>
      </c>
    </row>
    <row r="20" spans="1:9" ht="12.75">
      <c r="A20" s="2">
        <v>17</v>
      </c>
      <c r="B20" s="7" t="s">
        <v>1208</v>
      </c>
      <c r="C20" s="7" t="s">
        <v>1100</v>
      </c>
      <c r="D20" s="7" t="s">
        <v>1236</v>
      </c>
      <c r="E20" s="8" t="s">
        <v>294</v>
      </c>
      <c r="F20" s="8">
        <v>117566140023</v>
      </c>
      <c r="G20" s="7" t="str">
        <f t="shared" si="0"/>
        <v>117566140023@r6-1.deped.gov.ph</v>
      </c>
      <c r="H20" s="8" t="str">
        <f t="shared" si="1"/>
        <v>fernandez,311401</v>
      </c>
      <c r="I20" t="s">
        <v>14</v>
      </c>
    </row>
    <row r="21" spans="1:9" ht="12.75">
      <c r="A21" s="2">
        <v>18</v>
      </c>
      <c r="B21" s="7" t="s">
        <v>1208</v>
      </c>
      <c r="C21" s="7" t="s">
        <v>1237</v>
      </c>
      <c r="D21" s="7" t="s">
        <v>1238</v>
      </c>
      <c r="E21" s="8" t="s">
        <v>242</v>
      </c>
      <c r="F21" s="8">
        <v>103748150043</v>
      </c>
      <c r="G21" s="7" t="str">
        <f t="shared" si="0"/>
        <v>103748150043@r6-1.deped.gov.ph</v>
      </c>
      <c r="H21" s="8" t="str">
        <f t="shared" si="1"/>
        <v>fre-ira,311401</v>
      </c>
      <c r="I21" t="s">
        <v>14</v>
      </c>
    </row>
    <row r="22" spans="1:9" ht="12.75">
      <c r="A22" s="2">
        <v>19</v>
      </c>
      <c r="B22" s="7" t="s">
        <v>1208</v>
      </c>
      <c r="C22" s="7" t="s">
        <v>1239</v>
      </c>
      <c r="D22" s="7" t="s">
        <v>1240</v>
      </c>
      <c r="E22" s="8" t="s">
        <v>239</v>
      </c>
      <c r="F22" s="8">
        <v>117567150097</v>
      </c>
      <c r="G22" s="7" t="str">
        <f t="shared" si="0"/>
        <v>117567150097@r6-1.deped.gov.ph</v>
      </c>
      <c r="H22" s="8" t="str">
        <f t="shared" si="1"/>
        <v>fuentes,311401</v>
      </c>
      <c r="I22" t="s">
        <v>14</v>
      </c>
    </row>
    <row r="23" spans="1:9" ht="12.75">
      <c r="A23" s="2">
        <v>20</v>
      </c>
      <c r="B23" s="7" t="s">
        <v>1208</v>
      </c>
      <c r="C23" s="7" t="s">
        <v>1241</v>
      </c>
      <c r="D23" s="7" t="s">
        <v>1242</v>
      </c>
      <c r="E23" s="8" t="s">
        <v>231</v>
      </c>
      <c r="F23" s="8">
        <v>117567150040</v>
      </c>
      <c r="G23" s="7" t="str">
        <f t="shared" si="0"/>
        <v>117567150040@r6-1.deped.gov.ph</v>
      </c>
      <c r="H23" s="8" t="str">
        <f t="shared" si="1"/>
        <v>galang,311401</v>
      </c>
      <c r="I23" t="s">
        <v>46</v>
      </c>
    </row>
    <row r="24" spans="1:9" ht="12.75">
      <c r="A24" s="2">
        <v>21</v>
      </c>
      <c r="B24" s="7" t="s">
        <v>1208</v>
      </c>
      <c r="C24" s="7" t="s">
        <v>1243</v>
      </c>
      <c r="D24" s="7" t="s">
        <v>1244</v>
      </c>
      <c r="E24" s="8" t="s">
        <v>294</v>
      </c>
      <c r="F24" s="8">
        <v>117567150062</v>
      </c>
      <c r="G24" s="7" t="str">
        <f t="shared" si="0"/>
        <v>117567150062@r6-1.deped.gov.ph</v>
      </c>
      <c r="H24" s="8" t="str">
        <f t="shared" si="1"/>
        <v>julita,311401</v>
      </c>
      <c r="I24" t="s">
        <v>14</v>
      </c>
    </row>
    <row r="25" spans="1:9" ht="12.75">
      <c r="A25" s="2">
        <v>22</v>
      </c>
      <c r="B25" s="7" t="s">
        <v>1208</v>
      </c>
      <c r="C25" s="7" t="s">
        <v>1245</v>
      </c>
      <c r="D25" s="7" t="s">
        <v>1246</v>
      </c>
      <c r="E25" s="8" t="s">
        <v>263</v>
      </c>
      <c r="F25" s="8">
        <v>117563150051</v>
      </c>
      <c r="G25" s="7" t="str">
        <f t="shared" si="0"/>
        <v>117563150051@r6-1.deped.gov.ph</v>
      </c>
      <c r="H25" s="8" t="str">
        <f t="shared" si="1"/>
        <v>magsael,311401</v>
      </c>
      <c r="I25" t="s">
        <v>14</v>
      </c>
    </row>
    <row r="26" spans="1:9" ht="12.75">
      <c r="A26" s="2">
        <v>23</v>
      </c>
      <c r="B26" s="7" t="s">
        <v>1208</v>
      </c>
      <c r="C26" s="7" t="s">
        <v>1247</v>
      </c>
      <c r="D26" s="7" t="s">
        <v>1248</v>
      </c>
      <c r="E26" s="8" t="s">
        <v>724</v>
      </c>
      <c r="F26" s="8">
        <v>117567140055</v>
      </c>
      <c r="G26" s="7" t="str">
        <f t="shared" si="0"/>
        <v>117567140055@r6-1.deped.gov.ph</v>
      </c>
      <c r="H26" s="8" t="str">
        <f t="shared" si="1"/>
        <v>manait,311401</v>
      </c>
      <c r="I26" t="s">
        <v>14</v>
      </c>
    </row>
    <row r="27" spans="1:9" ht="12.75">
      <c r="A27" s="2">
        <v>24</v>
      </c>
      <c r="B27" s="7" t="s">
        <v>1208</v>
      </c>
      <c r="C27" s="7" t="s">
        <v>1249</v>
      </c>
      <c r="D27" s="7" t="s">
        <v>521</v>
      </c>
      <c r="E27" s="8" t="s">
        <v>245</v>
      </c>
      <c r="F27" s="8">
        <v>117567150018</v>
      </c>
      <c r="G27" s="7" t="str">
        <f t="shared" si="0"/>
        <v>117567150018@r6-1.deped.gov.ph</v>
      </c>
      <c r="H27" s="8" t="str">
        <f t="shared" si="1"/>
        <v>olivera,311401</v>
      </c>
      <c r="I27" t="s">
        <v>14</v>
      </c>
    </row>
    <row r="28" spans="1:9" ht="12.75">
      <c r="A28" s="2">
        <v>25</v>
      </c>
      <c r="B28" s="7" t="s">
        <v>1208</v>
      </c>
      <c r="C28" s="7" t="s">
        <v>898</v>
      </c>
      <c r="D28" s="7" t="s">
        <v>1250</v>
      </c>
      <c r="E28" s="8" t="s">
        <v>281</v>
      </c>
      <c r="F28" s="8">
        <v>117567150093</v>
      </c>
      <c r="G28" s="7" t="str">
        <f t="shared" si="0"/>
        <v>117567150093@r6-1.deped.gov.ph</v>
      </c>
      <c r="H28" s="8" t="str">
        <f t="shared" si="1"/>
        <v>ortega,311401</v>
      </c>
      <c r="I28" t="s">
        <v>14</v>
      </c>
    </row>
    <row r="29" spans="1:9" ht="12.75">
      <c r="A29" s="2">
        <v>26</v>
      </c>
      <c r="B29" s="7" t="s">
        <v>1208</v>
      </c>
      <c r="C29" s="7" t="s">
        <v>1251</v>
      </c>
      <c r="D29" s="7" t="s">
        <v>1252</v>
      </c>
      <c r="E29" s="8" t="s">
        <v>239</v>
      </c>
      <c r="F29" s="8">
        <v>117563160051</v>
      </c>
      <c r="G29" s="7" t="str">
        <f t="shared" si="0"/>
        <v>117563160051@r6-1.deped.gov.ph</v>
      </c>
      <c r="H29" s="8" t="str">
        <f t="shared" si="1"/>
        <v>panganiban,311401</v>
      </c>
      <c r="I29" t="s">
        <v>14</v>
      </c>
    </row>
    <row r="30" spans="1:9" ht="12.75">
      <c r="A30" s="2">
        <v>27</v>
      </c>
      <c r="B30" s="7" t="s">
        <v>1208</v>
      </c>
      <c r="C30" s="7" t="s">
        <v>1253</v>
      </c>
      <c r="D30" s="7" t="s">
        <v>1254</v>
      </c>
      <c r="E30" s="8" t="s">
        <v>263</v>
      </c>
      <c r="F30" s="8">
        <v>117565160022</v>
      </c>
      <c r="G30" s="7" t="str">
        <f t="shared" si="0"/>
        <v>117565160022@r6-1.deped.gov.ph</v>
      </c>
      <c r="H30" s="8" t="str">
        <f t="shared" si="1"/>
        <v>paunalan,311401</v>
      </c>
      <c r="I30" t="s">
        <v>14</v>
      </c>
    </row>
    <row r="31" spans="1:9" ht="12.75">
      <c r="A31" s="2">
        <v>28</v>
      </c>
      <c r="B31" s="7" t="s">
        <v>1208</v>
      </c>
      <c r="C31" s="7" t="s">
        <v>1253</v>
      </c>
      <c r="D31" s="7" t="s">
        <v>1255</v>
      </c>
      <c r="E31" s="8" t="s">
        <v>242</v>
      </c>
      <c r="F31" s="8">
        <v>117563150078</v>
      </c>
      <c r="G31" s="7" t="str">
        <f t="shared" si="0"/>
        <v>117563150078@r6-1.deped.gov.ph</v>
      </c>
      <c r="H31" s="8" t="str">
        <f t="shared" si="1"/>
        <v>paunalan,311401</v>
      </c>
      <c r="I31" t="s">
        <v>14</v>
      </c>
    </row>
    <row r="32" spans="1:9" ht="12.75">
      <c r="A32" s="2">
        <v>29</v>
      </c>
      <c r="B32" s="7" t="s">
        <v>1208</v>
      </c>
      <c r="C32" s="7" t="s">
        <v>222</v>
      </c>
      <c r="D32" s="7" t="s">
        <v>1256</v>
      </c>
      <c r="E32" s="8" t="s">
        <v>252</v>
      </c>
      <c r="F32" s="8">
        <v>117563150025</v>
      </c>
      <c r="G32" s="7" t="str">
        <f t="shared" si="0"/>
        <v>117563150025@r6-1.deped.gov.ph</v>
      </c>
      <c r="H32" s="8" t="str">
        <f t="shared" si="1"/>
        <v>prino,311401</v>
      </c>
      <c r="I32" t="s">
        <v>14</v>
      </c>
    </row>
    <row r="33" spans="1:9" ht="12.75">
      <c r="A33" s="2">
        <v>30</v>
      </c>
      <c r="B33" s="7" t="s">
        <v>1208</v>
      </c>
      <c r="C33" s="7" t="s">
        <v>1257</v>
      </c>
      <c r="D33" s="7" t="s">
        <v>740</v>
      </c>
      <c r="E33" s="8" t="s">
        <v>245</v>
      </c>
      <c r="F33" s="8">
        <v>117567150063</v>
      </c>
      <c r="G33" s="7" t="str">
        <f t="shared" si="0"/>
        <v>117567150063@r6-1.deped.gov.ph</v>
      </c>
      <c r="H33" s="8" t="str">
        <f t="shared" si="1"/>
        <v>rustia,311401</v>
      </c>
      <c r="I33" t="s">
        <v>14</v>
      </c>
    </row>
    <row r="34" spans="1:9" ht="12.75">
      <c r="A34" s="2">
        <v>31</v>
      </c>
      <c r="B34" s="7" t="s">
        <v>1208</v>
      </c>
      <c r="C34" s="7" t="s">
        <v>1258</v>
      </c>
      <c r="D34" s="7" t="s">
        <v>1259</v>
      </c>
      <c r="E34" s="8" t="s">
        <v>311</v>
      </c>
      <c r="F34" s="8">
        <v>117567150045</v>
      </c>
      <c r="G34" s="7" t="str">
        <f t="shared" si="0"/>
        <v>117567150045@r6-1.deped.gov.ph</v>
      </c>
      <c r="H34" s="8" t="str">
        <f t="shared" si="1"/>
        <v>yangyang,311401</v>
      </c>
      <c r="I34" t="s">
        <v>14</v>
      </c>
    </row>
    <row r="35" spans="1:9" ht="12.75">
      <c r="A35" s="2">
        <v>32</v>
      </c>
      <c r="B35" s="7" t="s">
        <v>1260</v>
      </c>
      <c r="C35" s="7" t="s">
        <v>1261</v>
      </c>
      <c r="D35" s="7" t="s">
        <v>1262</v>
      </c>
      <c r="E35" s="8" t="s">
        <v>239</v>
      </c>
      <c r="F35" s="8">
        <v>117544140040</v>
      </c>
      <c r="G35" s="7" t="str">
        <f t="shared" ref="G35:G67" si="2">IF(F35="","",F35&amp;"@r6-1.deped.gov.ph")</f>
        <v>117544140040@r6-1.deped.gov.ph</v>
      </c>
      <c r="H35" s="8" t="str">
        <f t="shared" si="1"/>
        <v>areglo,311401</v>
      </c>
      <c r="I35" t="s">
        <v>14</v>
      </c>
    </row>
    <row r="36" spans="1:9" ht="12.75">
      <c r="A36" s="2">
        <v>33</v>
      </c>
      <c r="B36" s="7" t="s">
        <v>1260</v>
      </c>
      <c r="C36" s="7" t="s">
        <v>1263</v>
      </c>
      <c r="D36" s="7" t="s">
        <v>1264</v>
      </c>
      <c r="E36" s="8" t="s">
        <v>260</v>
      </c>
      <c r="F36" s="8">
        <v>117567150027</v>
      </c>
      <c r="G36" s="7" t="str">
        <f t="shared" si="2"/>
        <v>117567150027@r6-1.deped.gov.ph</v>
      </c>
      <c r="H36" s="8" t="str">
        <f t="shared" ref="H36:H67" si="3">IF(C36="","",LOWER(C36)&amp;",311401")</f>
        <v>bonifacio,311401</v>
      </c>
      <c r="I36" t="s">
        <v>14</v>
      </c>
    </row>
    <row r="37" spans="1:9" ht="12.75">
      <c r="A37" s="2">
        <v>34</v>
      </c>
      <c r="B37" s="7" t="s">
        <v>1260</v>
      </c>
      <c r="C37" s="7" t="s">
        <v>1034</v>
      </c>
      <c r="D37" s="7" t="s">
        <v>1265</v>
      </c>
      <c r="E37" s="8" t="s">
        <v>252</v>
      </c>
      <c r="F37" s="8">
        <v>117567150029</v>
      </c>
      <c r="G37" s="7" t="str">
        <f t="shared" si="2"/>
        <v>117567150029@r6-1.deped.gov.ph</v>
      </c>
      <c r="H37" s="8" t="str">
        <f t="shared" si="3"/>
        <v>cantero,311401</v>
      </c>
      <c r="I37" t="s">
        <v>14</v>
      </c>
    </row>
    <row r="38" spans="1:9" ht="12.75">
      <c r="A38" s="2">
        <v>35</v>
      </c>
      <c r="B38" s="7" t="s">
        <v>1260</v>
      </c>
      <c r="C38" s="7" t="s">
        <v>1213</v>
      </c>
      <c r="D38" s="7" t="s">
        <v>1266</v>
      </c>
      <c r="E38" s="8" t="s">
        <v>294</v>
      </c>
      <c r="F38" s="8">
        <v>117567150006</v>
      </c>
      <c r="G38" s="7" t="str">
        <f t="shared" si="2"/>
        <v>117567150006@r6-1.deped.gov.ph</v>
      </c>
      <c r="H38" s="8" t="str">
        <f t="shared" si="3"/>
        <v>dorias,311401</v>
      </c>
      <c r="I38" t="s">
        <v>14</v>
      </c>
    </row>
    <row r="39" spans="1:9" ht="12.75">
      <c r="A39" s="2">
        <v>36</v>
      </c>
      <c r="B39" s="7" t="s">
        <v>1260</v>
      </c>
      <c r="C39" s="7" t="s">
        <v>1267</v>
      </c>
      <c r="D39" s="7" t="s">
        <v>1268</v>
      </c>
      <c r="E39" s="8" t="s">
        <v>263</v>
      </c>
      <c r="F39" s="8">
        <v>117565150030</v>
      </c>
      <c r="G39" s="7" t="str">
        <f t="shared" si="2"/>
        <v>117565150030@r6-1.deped.gov.ph</v>
      </c>
      <c r="H39" s="8" t="str">
        <f t="shared" si="3"/>
        <v>ejedo,311401</v>
      </c>
      <c r="I39" t="s">
        <v>14</v>
      </c>
    </row>
    <row r="40" spans="1:9" ht="12.75">
      <c r="A40" s="2">
        <v>37</v>
      </c>
      <c r="B40" s="7" t="s">
        <v>1260</v>
      </c>
      <c r="C40" s="7" t="s">
        <v>1269</v>
      </c>
      <c r="D40" s="7" t="s">
        <v>1270</v>
      </c>
      <c r="E40" s="8" t="s">
        <v>724</v>
      </c>
      <c r="F40" s="8">
        <v>102686150026</v>
      </c>
      <c r="G40" s="7" t="str">
        <f t="shared" si="2"/>
        <v>102686150026@r6-1.deped.gov.ph</v>
      </c>
      <c r="H40" s="8" t="str">
        <f t="shared" si="3"/>
        <v>espares,311401</v>
      </c>
      <c r="I40" t="s">
        <v>14</v>
      </c>
    </row>
    <row r="41" spans="1:9" ht="12.75">
      <c r="A41" s="2">
        <v>38</v>
      </c>
      <c r="B41" s="7" t="s">
        <v>1260</v>
      </c>
      <c r="C41" s="7" t="s">
        <v>332</v>
      </c>
      <c r="D41" s="7" t="s">
        <v>1271</v>
      </c>
      <c r="E41" s="8" t="s">
        <v>239</v>
      </c>
      <c r="F41" s="8">
        <v>117567150050</v>
      </c>
      <c r="G41" s="7" t="str">
        <f t="shared" si="2"/>
        <v>117567150050@r6-1.deped.gov.ph</v>
      </c>
      <c r="H41" s="8" t="str">
        <f t="shared" si="3"/>
        <v>jimenez,311401</v>
      </c>
      <c r="I41" t="s">
        <v>14</v>
      </c>
    </row>
    <row r="42" spans="1:9" ht="12.75">
      <c r="A42" s="2">
        <v>39</v>
      </c>
      <c r="B42" s="7" t="s">
        <v>1260</v>
      </c>
      <c r="C42" s="7" t="s">
        <v>1272</v>
      </c>
      <c r="D42" s="7" t="s">
        <v>1273</v>
      </c>
      <c r="E42" s="8" t="s">
        <v>245</v>
      </c>
      <c r="F42" s="8">
        <v>117567140084</v>
      </c>
      <c r="G42" s="7" t="str">
        <f t="shared" si="2"/>
        <v>117567140084@r6-1.deped.gov.ph</v>
      </c>
      <c r="H42" s="8" t="str">
        <f t="shared" si="3"/>
        <v>juanico,311401</v>
      </c>
      <c r="I42" t="s">
        <v>14</v>
      </c>
    </row>
    <row r="43" spans="1:9" ht="12.75">
      <c r="A43" s="2">
        <v>40</v>
      </c>
      <c r="B43" s="7" t="s">
        <v>1260</v>
      </c>
      <c r="C43" s="7" t="s">
        <v>821</v>
      </c>
      <c r="D43" s="7" t="s">
        <v>42</v>
      </c>
      <c r="E43" s="8" t="s">
        <v>294</v>
      </c>
      <c r="F43" s="8">
        <v>117567150008</v>
      </c>
      <c r="G43" s="7" t="str">
        <f t="shared" si="2"/>
        <v>117567150008@r6-1.deped.gov.ph</v>
      </c>
      <c r="H43" s="8" t="str">
        <f t="shared" si="3"/>
        <v>lanotes,311401</v>
      </c>
      <c r="I43" t="s">
        <v>14</v>
      </c>
    </row>
    <row r="44" spans="1:9" ht="12.75">
      <c r="A44" s="2">
        <v>41</v>
      </c>
      <c r="B44" s="7" t="s">
        <v>1260</v>
      </c>
      <c r="C44" s="7" t="s">
        <v>1274</v>
      </c>
      <c r="D44" s="7" t="s">
        <v>1275</v>
      </c>
      <c r="E44" s="8" t="s">
        <v>245</v>
      </c>
      <c r="F44" s="8">
        <v>117565160018</v>
      </c>
      <c r="G44" s="7" t="str">
        <f t="shared" si="2"/>
        <v>117565160018@r6-1.deped.gov.ph</v>
      </c>
      <c r="H44" s="8" t="str">
        <f t="shared" si="3"/>
        <v>lataquin,311401</v>
      </c>
      <c r="I44" t="s">
        <v>14</v>
      </c>
    </row>
    <row r="45" spans="1:9" ht="12.75">
      <c r="A45" s="2">
        <v>42</v>
      </c>
      <c r="B45" s="7" t="s">
        <v>1260</v>
      </c>
      <c r="C45" s="7" t="s">
        <v>1276</v>
      </c>
      <c r="D45" s="7" t="s">
        <v>1277</v>
      </c>
      <c r="E45" s="8" t="s">
        <v>263</v>
      </c>
      <c r="F45" s="8">
        <v>117565130037</v>
      </c>
      <c r="G45" s="7" t="str">
        <f t="shared" si="2"/>
        <v>117565130037@r6-1.deped.gov.ph</v>
      </c>
      <c r="H45" s="8" t="str">
        <f t="shared" si="3"/>
        <v>mañosa,311401</v>
      </c>
      <c r="I45" t="s">
        <v>14</v>
      </c>
    </row>
    <row r="46" spans="1:9" ht="12.75">
      <c r="A46" s="2">
        <v>43</v>
      </c>
      <c r="B46" s="7" t="s">
        <v>1260</v>
      </c>
      <c r="C46" s="7" t="s">
        <v>1278</v>
      </c>
      <c r="D46" s="7" t="s">
        <v>1279</v>
      </c>
      <c r="E46" s="8" t="s">
        <v>311</v>
      </c>
      <c r="F46" s="8">
        <v>117531140048</v>
      </c>
      <c r="G46" s="7" t="str">
        <f t="shared" si="2"/>
        <v>117531140048@r6-1.deped.gov.ph</v>
      </c>
      <c r="H46" s="8" t="str">
        <f t="shared" si="3"/>
        <v>matandag,311401</v>
      </c>
      <c r="I46" t="s">
        <v>14</v>
      </c>
    </row>
    <row r="47" spans="1:9" ht="12.75">
      <c r="A47" s="2">
        <v>44</v>
      </c>
      <c r="B47" s="7" t="s">
        <v>1260</v>
      </c>
      <c r="C47" s="7" t="s">
        <v>1280</v>
      </c>
      <c r="D47" s="7" t="s">
        <v>1281</v>
      </c>
      <c r="E47" s="8" t="s">
        <v>255</v>
      </c>
      <c r="F47" s="8">
        <v>117559150055</v>
      </c>
      <c r="G47" s="7" t="str">
        <f t="shared" si="2"/>
        <v>117559150055@r6-1.deped.gov.ph</v>
      </c>
      <c r="H47" s="8" t="str">
        <f t="shared" si="3"/>
        <v>naga,311401</v>
      </c>
      <c r="I47" t="s">
        <v>14</v>
      </c>
    </row>
    <row r="48" spans="1:9" ht="12.75">
      <c r="A48" s="2">
        <v>45</v>
      </c>
      <c r="B48" s="7" t="s">
        <v>1260</v>
      </c>
      <c r="C48" s="7" t="s">
        <v>1282</v>
      </c>
      <c r="D48" s="7" t="s">
        <v>1283</v>
      </c>
      <c r="E48" s="8" t="s">
        <v>739</v>
      </c>
      <c r="F48" s="8">
        <v>117563150009</v>
      </c>
      <c r="G48" s="7" t="str">
        <f t="shared" si="2"/>
        <v>117563150009@r6-1.deped.gov.ph</v>
      </c>
      <c r="H48" s="8" t="str">
        <f t="shared" si="3"/>
        <v>nuñal,311401</v>
      </c>
      <c r="I48" t="s">
        <v>14</v>
      </c>
    </row>
    <row r="49" spans="1:9" ht="12.75">
      <c r="A49" s="2">
        <v>46</v>
      </c>
      <c r="B49" s="7" t="s">
        <v>1260</v>
      </c>
      <c r="C49" s="7" t="s">
        <v>1284</v>
      </c>
      <c r="D49" s="7" t="s">
        <v>1285</v>
      </c>
      <c r="E49" s="8" t="s">
        <v>361</v>
      </c>
      <c r="F49" s="8">
        <v>117567150071</v>
      </c>
      <c r="G49" s="7" t="str">
        <f t="shared" si="2"/>
        <v>117567150071@r6-1.deped.gov.ph</v>
      </c>
      <c r="H49" s="8" t="str">
        <f t="shared" si="3"/>
        <v>orbeso,311401</v>
      </c>
      <c r="I49" t="s">
        <v>14</v>
      </c>
    </row>
    <row r="50" spans="1:9" ht="12.75">
      <c r="A50" s="2">
        <v>47</v>
      </c>
      <c r="B50" s="7" t="s">
        <v>1260</v>
      </c>
      <c r="C50" s="7" t="s">
        <v>1286</v>
      </c>
      <c r="D50" s="7" t="s">
        <v>1287</v>
      </c>
      <c r="E50" s="8" t="s">
        <v>739</v>
      </c>
      <c r="F50" s="8">
        <v>117567150010</v>
      </c>
      <c r="G50" s="7" t="str">
        <f t="shared" si="2"/>
        <v>117567150010@r6-1.deped.gov.ph</v>
      </c>
      <c r="H50" s="8" t="str">
        <f t="shared" si="3"/>
        <v>padernal,311401</v>
      </c>
      <c r="I50" t="s">
        <v>14</v>
      </c>
    </row>
    <row r="51" spans="1:9" ht="12.75">
      <c r="A51" s="2">
        <v>48</v>
      </c>
      <c r="B51" s="7" t="s">
        <v>1260</v>
      </c>
      <c r="C51" s="7" t="s">
        <v>1253</v>
      </c>
      <c r="D51" s="7" t="s">
        <v>331</v>
      </c>
      <c r="E51" s="8" t="s">
        <v>263</v>
      </c>
      <c r="F51" s="8">
        <v>117563130111</v>
      </c>
      <c r="G51" s="7" t="str">
        <f t="shared" si="2"/>
        <v>117563130111@r6-1.deped.gov.ph</v>
      </c>
      <c r="H51" s="8" t="str">
        <f t="shared" si="3"/>
        <v>paunalan,311401</v>
      </c>
      <c r="I51" t="s">
        <v>14</v>
      </c>
    </row>
    <row r="52" spans="1:9" ht="12.75">
      <c r="A52" s="2">
        <v>49</v>
      </c>
      <c r="B52" s="7" t="s">
        <v>1260</v>
      </c>
      <c r="C52" s="7" t="s">
        <v>829</v>
      </c>
      <c r="D52" s="7" t="s">
        <v>1288</v>
      </c>
      <c r="E52" s="8" t="s">
        <v>263</v>
      </c>
      <c r="F52" s="8">
        <v>117567150072</v>
      </c>
      <c r="G52" s="7" t="str">
        <f t="shared" si="2"/>
        <v>117567150072@r6-1.deped.gov.ph</v>
      </c>
      <c r="H52" s="8" t="str">
        <f t="shared" si="3"/>
        <v>razonable,311401</v>
      </c>
      <c r="I52" t="s">
        <v>14</v>
      </c>
    </row>
    <row r="53" spans="1:9" ht="12.75">
      <c r="A53" s="2">
        <v>50</v>
      </c>
      <c r="B53" s="7" t="s">
        <v>1260</v>
      </c>
      <c r="C53" s="7" t="s">
        <v>1289</v>
      </c>
      <c r="D53" s="7" t="s">
        <v>1290</v>
      </c>
      <c r="E53" s="8" t="s">
        <v>309</v>
      </c>
      <c r="F53" s="8">
        <v>117565150007</v>
      </c>
      <c r="G53" s="7" t="str">
        <f t="shared" si="2"/>
        <v>117565150007@r6-1.deped.gov.ph</v>
      </c>
      <c r="H53" s="8" t="str">
        <f t="shared" si="3"/>
        <v>sarillosa,311401</v>
      </c>
      <c r="I53" t="s">
        <v>14</v>
      </c>
    </row>
    <row r="54" spans="1:9" ht="12.75">
      <c r="A54" s="2">
        <v>51</v>
      </c>
      <c r="B54" s="7" t="s">
        <v>1260</v>
      </c>
      <c r="C54" s="7" t="s">
        <v>1291</v>
      </c>
      <c r="D54" s="7" t="s">
        <v>1292</v>
      </c>
      <c r="E54" s="8" t="s">
        <v>294</v>
      </c>
      <c r="F54" s="8">
        <v>117567150095</v>
      </c>
      <c r="G54" s="7" t="str">
        <f t="shared" si="2"/>
        <v>117567150095@r6-1.deped.gov.ph</v>
      </c>
      <c r="H54" s="8" t="str">
        <f t="shared" si="3"/>
        <v>traya,311401</v>
      </c>
      <c r="I54" t="s">
        <v>14</v>
      </c>
    </row>
    <row r="55" spans="1:9" ht="12.75">
      <c r="A55" s="2">
        <v>52</v>
      </c>
      <c r="B55" s="7" t="s">
        <v>1260</v>
      </c>
      <c r="C55" s="7" t="s">
        <v>1293</v>
      </c>
      <c r="D55" s="7" t="s">
        <v>189</v>
      </c>
      <c r="E55" s="8" t="s">
        <v>263</v>
      </c>
      <c r="F55" s="8">
        <v>117565150012</v>
      </c>
      <c r="G55" s="7" t="str">
        <f t="shared" si="2"/>
        <v>117565150012@r6-1.deped.gov.ph</v>
      </c>
      <c r="H55" s="8" t="str">
        <f t="shared" si="3"/>
        <v>villacampa,311401</v>
      </c>
      <c r="I55" t="s">
        <v>14</v>
      </c>
    </row>
    <row r="56" spans="1:9" ht="12.75">
      <c r="A56" s="2">
        <v>53</v>
      </c>
      <c r="B56" s="7" t="s">
        <v>1260</v>
      </c>
      <c r="C56" s="7" t="s">
        <v>1294</v>
      </c>
      <c r="D56" s="7" t="s">
        <v>1295</v>
      </c>
      <c r="E56" s="8" t="s">
        <v>234</v>
      </c>
      <c r="F56" s="8">
        <v>117565130062</v>
      </c>
      <c r="G56" s="7" t="str">
        <f t="shared" si="2"/>
        <v>117565130062@r6-1.deped.gov.ph</v>
      </c>
      <c r="H56" s="8" t="str">
        <f t="shared" si="3"/>
        <v>villarante,311401</v>
      </c>
      <c r="I56" t="s">
        <v>14</v>
      </c>
    </row>
    <row r="57" spans="1:9" ht="12.75">
      <c r="A57" s="2">
        <v>54</v>
      </c>
      <c r="B57" s="7" t="s">
        <v>1260</v>
      </c>
      <c r="C57" s="7" t="s">
        <v>128</v>
      </c>
      <c r="D57" s="7" t="s">
        <v>1296</v>
      </c>
      <c r="E57" s="8" t="s">
        <v>294</v>
      </c>
      <c r="F57" s="8">
        <v>117563150012</v>
      </c>
      <c r="G57" s="7" t="str">
        <f t="shared" si="2"/>
        <v>117563150012@r6-1.deped.gov.ph</v>
      </c>
      <c r="H57" s="8" t="str">
        <f t="shared" si="3"/>
        <v>villaruel,311401</v>
      </c>
      <c r="I57" t="s">
        <v>14</v>
      </c>
    </row>
    <row r="58" spans="1:9" ht="12.75">
      <c r="A58" s="2">
        <v>55</v>
      </c>
      <c r="B58" s="7" t="s">
        <v>1260</v>
      </c>
      <c r="C58" s="7" t="s">
        <v>1297</v>
      </c>
      <c r="D58" s="7" t="s">
        <v>1298</v>
      </c>
      <c r="E58" s="8" t="s">
        <v>242</v>
      </c>
      <c r="F58" s="8">
        <v>117565150037</v>
      </c>
      <c r="G58" s="7" t="str">
        <f t="shared" si="2"/>
        <v>117565150037@r6-1.deped.gov.ph</v>
      </c>
      <c r="H58" s="8" t="str">
        <f t="shared" si="3"/>
        <v>batacandolo,311401</v>
      </c>
      <c r="I58" t="s">
        <v>14</v>
      </c>
    </row>
    <row r="59" spans="1:9" ht="12.75">
      <c r="A59" s="2">
        <v>56</v>
      </c>
      <c r="B59" s="7" t="s">
        <v>1260</v>
      </c>
      <c r="C59" s="7" t="s">
        <v>1299</v>
      </c>
      <c r="D59" s="7" t="s">
        <v>1300</v>
      </c>
      <c r="E59" s="8" t="s">
        <v>252</v>
      </c>
      <c r="F59" s="8">
        <v>117565150015</v>
      </c>
      <c r="G59" s="7" t="str">
        <f t="shared" si="2"/>
        <v>117565150015@r6-1.deped.gov.ph</v>
      </c>
      <c r="H59" s="8" t="str">
        <f t="shared" si="3"/>
        <v>belonio,311401</v>
      </c>
      <c r="I59" t="s">
        <v>14</v>
      </c>
    </row>
    <row r="60" spans="1:9" ht="12.75">
      <c r="A60" s="2">
        <v>57</v>
      </c>
      <c r="B60" s="7" t="s">
        <v>1260</v>
      </c>
      <c r="C60" s="7" t="s">
        <v>1090</v>
      </c>
      <c r="D60" s="7" t="s">
        <v>1301</v>
      </c>
      <c r="E60" s="8" t="s">
        <v>255</v>
      </c>
      <c r="F60" s="8">
        <v>117567150016</v>
      </c>
      <c r="G60" s="7" t="str">
        <f t="shared" si="2"/>
        <v>117567150016@r6-1.deped.gov.ph</v>
      </c>
      <c r="H60" s="8" t="str">
        <f t="shared" si="3"/>
        <v>cabodillo,311401</v>
      </c>
      <c r="I60" t="s">
        <v>14</v>
      </c>
    </row>
    <row r="61" spans="1:9" ht="12.75">
      <c r="A61" s="2">
        <v>58</v>
      </c>
      <c r="B61" s="7" t="s">
        <v>1260</v>
      </c>
      <c r="C61" s="7" t="s">
        <v>1302</v>
      </c>
      <c r="D61" s="7" t="s">
        <v>1303</v>
      </c>
      <c r="E61" s="8" t="s">
        <v>263</v>
      </c>
      <c r="F61" s="8">
        <v>117565150038</v>
      </c>
      <c r="G61" s="7" t="str">
        <f t="shared" si="2"/>
        <v>117565150038@r6-1.deped.gov.ph</v>
      </c>
      <c r="H61" s="8" t="str">
        <f t="shared" si="3"/>
        <v>cabrela,311401</v>
      </c>
      <c r="I61" t="s">
        <v>14</v>
      </c>
    </row>
    <row r="62" spans="1:9" ht="12.75">
      <c r="A62" s="2">
        <v>59</v>
      </c>
      <c r="B62" s="7" t="s">
        <v>1260</v>
      </c>
      <c r="C62" s="7" t="s">
        <v>1304</v>
      </c>
      <c r="D62" s="7" t="s">
        <v>1305</v>
      </c>
      <c r="E62" s="8" t="s">
        <v>268</v>
      </c>
      <c r="F62" s="8">
        <v>117567150021</v>
      </c>
      <c r="G62" s="7" t="str">
        <f t="shared" si="2"/>
        <v>117567150021@r6-1.deped.gov.ph</v>
      </c>
      <c r="H62" s="8" t="str">
        <f t="shared" si="3"/>
        <v>dequiña,311401</v>
      </c>
      <c r="I62" t="s">
        <v>14</v>
      </c>
    </row>
    <row r="63" spans="1:9" ht="12.75">
      <c r="A63" s="2">
        <v>60</v>
      </c>
      <c r="B63" s="7" t="s">
        <v>1260</v>
      </c>
      <c r="C63" s="7" t="s">
        <v>1306</v>
      </c>
      <c r="D63" s="7" t="s">
        <v>1307</v>
      </c>
      <c r="E63" s="8" t="s">
        <v>234</v>
      </c>
      <c r="F63" s="8">
        <v>117554150098</v>
      </c>
      <c r="G63" s="7" t="str">
        <f t="shared" si="2"/>
        <v>117554150098@r6-1.deped.gov.ph</v>
      </c>
      <c r="H63" s="8" t="str">
        <f t="shared" si="3"/>
        <v>estiola,311401</v>
      </c>
      <c r="I63" t="s">
        <v>14</v>
      </c>
    </row>
    <row r="64" spans="1:9" ht="12.75">
      <c r="A64" s="2">
        <v>61</v>
      </c>
      <c r="B64" s="7" t="s">
        <v>1260</v>
      </c>
      <c r="C64" s="7" t="s">
        <v>383</v>
      </c>
      <c r="D64" s="7" t="s">
        <v>88</v>
      </c>
      <c r="E64" s="8" t="s">
        <v>260</v>
      </c>
      <c r="F64" s="8">
        <v>117567150098</v>
      </c>
      <c r="G64" s="7" t="str">
        <f t="shared" si="2"/>
        <v>117567150098@r6-1.deped.gov.ph</v>
      </c>
      <c r="H64" s="8" t="str">
        <f t="shared" si="3"/>
        <v>gonzales,311401</v>
      </c>
      <c r="I64" t="s">
        <v>14</v>
      </c>
    </row>
    <row r="65" spans="1:9" ht="12.75">
      <c r="A65" s="2">
        <v>62</v>
      </c>
      <c r="B65" s="7" t="s">
        <v>1260</v>
      </c>
      <c r="C65" s="7" t="s">
        <v>1308</v>
      </c>
      <c r="D65" s="7" t="s">
        <v>1309</v>
      </c>
      <c r="E65" s="8" t="s">
        <v>245</v>
      </c>
      <c r="F65" s="8">
        <v>117567130072</v>
      </c>
      <c r="G65" s="7" t="str">
        <f t="shared" si="2"/>
        <v>117567130072@r6-1.deped.gov.ph</v>
      </c>
      <c r="H65" s="8" t="str">
        <f t="shared" si="3"/>
        <v>losaran,311401</v>
      </c>
      <c r="I65" t="s">
        <v>14</v>
      </c>
    </row>
    <row r="66" spans="1:9" ht="12.75">
      <c r="A66" s="2">
        <v>63</v>
      </c>
      <c r="B66" s="7" t="s">
        <v>1260</v>
      </c>
      <c r="C66" s="7" t="s">
        <v>40</v>
      </c>
      <c r="D66" s="7" t="s">
        <v>1310</v>
      </c>
      <c r="E66" s="8" t="s">
        <v>245</v>
      </c>
      <c r="F66" s="8">
        <v>117567140054</v>
      </c>
      <c r="G66" s="7" t="str">
        <f t="shared" si="2"/>
        <v>117567140054@r6-1.deped.gov.ph</v>
      </c>
      <c r="H66" s="8" t="str">
        <f t="shared" si="3"/>
        <v>magbanua,311401</v>
      </c>
      <c r="I66" t="s">
        <v>14</v>
      </c>
    </row>
    <row r="67" spans="1:9" ht="12.75">
      <c r="A67" s="2">
        <v>64</v>
      </c>
      <c r="B67" s="7" t="s">
        <v>1260</v>
      </c>
      <c r="C67" s="7" t="s">
        <v>1311</v>
      </c>
      <c r="D67" s="7" t="s">
        <v>1312</v>
      </c>
      <c r="E67" s="8" t="s">
        <v>257</v>
      </c>
      <c r="F67" s="8">
        <v>117567150022</v>
      </c>
      <c r="G67" s="7" t="str">
        <f t="shared" si="2"/>
        <v>117567150022@r6-1.deped.gov.ph</v>
      </c>
      <c r="H67" s="8" t="str">
        <f t="shared" si="3"/>
        <v>masbaño,311401</v>
      </c>
      <c r="I67" t="s">
        <v>14</v>
      </c>
    </row>
    <row r="68" spans="1:9" ht="12.75">
      <c r="A68" s="2">
        <v>65</v>
      </c>
      <c r="B68" s="7" t="s">
        <v>1260</v>
      </c>
      <c r="C68" s="7" t="s">
        <v>1313</v>
      </c>
      <c r="D68" s="7" t="s">
        <v>1314</v>
      </c>
      <c r="E68" s="8" t="s">
        <v>231</v>
      </c>
      <c r="F68" s="8">
        <v>117567150042</v>
      </c>
      <c r="G68" s="7" t="str">
        <f t="shared" ref="G68:G107" si="4">IF(F68="","",F68&amp;"@r6-1.deped.gov.ph")</f>
        <v>117567150042@r6-1.deped.gov.ph</v>
      </c>
      <c r="H68" s="8" t="str">
        <f t="shared" ref="H68:H107" si="5">IF(C68="","",LOWER(C68)&amp;",311401")</f>
        <v>ondon,311401</v>
      </c>
      <c r="I68" t="s">
        <v>14</v>
      </c>
    </row>
    <row r="69" spans="1:9" ht="12.75">
      <c r="A69" s="2">
        <v>66</v>
      </c>
      <c r="B69" s="7" t="s">
        <v>1260</v>
      </c>
      <c r="C69" s="7" t="s">
        <v>1257</v>
      </c>
      <c r="D69" s="7" t="s">
        <v>1315</v>
      </c>
      <c r="E69" s="8" t="s">
        <v>245</v>
      </c>
      <c r="F69" s="8">
        <v>117563150086</v>
      </c>
      <c r="G69" s="7" t="str">
        <f t="shared" si="4"/>
        <v>117563150086@r6-1.deped.gov.ph</v>
      </c>
      <c r="H69" s="8" t="str">
        <f t="shared" si="5"/>
        <v>rustia,311401</v>
      </c>
      <c r="I69" t="s">
        <v>14</v>
      </c>
    </row>
    <row r="70" spans="1:9" ht="12.75">
      <c r="A70" s="2">
        <v>67</v>
      </c>
      <c r="B70" s="7" t="s">
        <v>1260</v>
      </c>
      <c r="C70" s="7" t="s">
        <v>1316</v>
      </c>
      <c r="D70" s="7" t="s">
        <v>1317</v>
      </c>
      <c r="E70" s="8" t="s">
        <v>257</v>
      </c>
      <c r="F70" s="8">
        <v>117567150100</v>
      </c>
      <c r="G70" s="7" t="str">
        <f t="shared" si="4"/>
        <v>117567150100@r6-1.deped.gov.ph</v>
      </c>
      <c r="H70" s="8" t="str">
        <f t="shared" si="5"/>
        <v>toriano,311401</v>
      </c>
      <c r="I70" t="s">
        <v>14</v>
      </c>
    </row>
    <row r="71" spans="1:9" ht="12.75">
      <c r="A71" s="2">
        <v>68</v>
      </c>
      <c r="B71" s="7" t="s">
        <v>1260</v>
      </c>
      <c r="C71" s="7" t="s">
        <v>545</v>
      </c>
      <c r="D71" s="7" t="s">
        <v>1017</v>
      </c>
      <c r="E71" s="8" t="s">
        <v>309</v>
      </c>
      <c r="F71" s="8">
        <v>117567150099</v>
      </c>
      <c r="G71" s="7" t="str">
        <f t="shared" si="4"/>
        <v>117567150099@r6-1.deped.gov.ph</v>
      </c>
      <c r="H71" s="8" t="str">
        <f t="shared" si="5"/>
        <v>vergara,311401</v>
      </c>
      <c r="I71" t="s">
        <v>14</v>
      </c>
    </row>
    <row r="72" spans="1:9" ht="12.75">
      <c r="A72" s="2">
        <v>69</v>
      </c>
      <c r="B72" s="7" t="s">
        <v>1318</v>
      </c>
      <c r="C72" s="7" t="s">
        <v>1223</v>
      </c>
      <c r="D72" s="7" t="s">
        <v>1319</v>
      </c>
      <c r="E72" s="8" t="s">
        <v>309</v>
      </c>
      <c r="F72" s="8">
        <v>117563150002</v>
      </c>
      <c r="G72" s="7" t="str">
        <f t="shared" si="4"/>
        <v>117563150002@r6-1.deped.gov.ph</v>
      </c>
      <c r="H72" s="8" t="str">
        <f t="shared" si="5"/>
        <v>alob,311401</v>
      </c>
      <c r="I72" t="s">
        <v>14</v>
      </c>
    </row>
    <row r="73" spans="1:9" ht="12.75">
      <c r="A73" s="2">
        <v>70</v>
      </c>
      <c r="B73" s="7" t="s">
        <v>1318</v>
      </c>
      <c r="C73" s="7" t="s">
        <v>1320</v>
      </c>
      <c r="D73" s="7" t="s">
        <v>1321</v>
      </c>
      <c r="E73" s="8" t="s">
        <v>294</v>
      </c>
      <c r="F73" s="8">
        <v>117567150082</v>
      </c>
      <c r="G73" s="7" t="str">
        <f t="shared" si="4"/>
        <v>117567150082@r6-1.deped.gov.ph</v>
      </c>
      <c r="H73" s="8" t="str">
        <f t="shared" si="5"/>
        <v>amadeo,311401</v>
      </c>
      <c r="I73" t="s">
        <v>14</v>
      </c>
    </row>
    <row r="74" spans="1:9" ht="12.75">
      <c r="A74" s="2">
        <v>71</v>
      </c>
      <c r="B74" s="7" t="s">
        <v>1318</v>
      </c>
      <c r="C74" s="7" t="s">
        <v>1322</v>
      </c>
      <c r="D74" s="7" t="s">
        <v>175</v>
      </c>
      <c r="E74" s="8" t="s">
        <v>309</v>
      </c>
      <c r="F74" s="8">
        <v>117563150095</v>
      </c>
      <c r="G74" s="7" t="str">
        <f t="shared" si="4"/>
        <v>117563150095@r6-1.deped.gov.ph</v>
      </c>
      <c r="H74" s="8" t="str">
        <f t="shared" si="5"/>
        <v>arino,311401</v>
      </c>
      <c r="I74" t="s">
        <v>14</v>
      </c>
    </row>
    <row r="75" spans="1:9" ht="12.75">
      <c r="A75" s="2">
        <v>72</v>
      </c>
      <c r="B75" s="7" t="s">
        <v>1318</v>
      </c>
      <c r="C75" s="7" t="s">
        <v>1323</v>
      </c>
      <c r="D75" s="7" t="s">
        <v>1324</v>
      </c>
      <c r="E75" s="8" t="s">
        <v>444</v>
      </c>
      <c r="F75" s="8">
        <v>117563140012</v>
      </c>
      <c r="G75" s="7" t="str">
        <f t="shared" si="4"/>
        <v>117563140012@r6-1.deped.gov.ph</v>
      </c>
      <c r="H75" s="8" t="str">
        <f t="shared" si="5"/>
        <v>artuz,311401</v>
      </c>
      <c r="I75" t="s">
        <v>14</v>
      </c>
    </row>
    <row r="76" spans="1:9" ht="12.75">
      <c r="A76" s="2">
        <v>73</v>
      </c>
      <c r="B76" s="7" t="s">
        <v>1318</v>
      </c>
      <c r="C76" s="7" t="s">
        <v>1325</v>
      </c>
      <c r="D76" s="7" t="s">
        <v>1326</v>
      </c>
      <c r="E76" s="8"/>
      <c r="F76" s="8">
        <v>117567120043</v>
      </c>
      <c r="G76" s="7" t="str">
        <f t="shared" si="4"/>
        <v>117567120043@r6-1.deped.gov.ph</v>
      </c>
      <c r="H76" s="8" t="str">
        <f t="shared" si="5"/>
        <v>barnal,311401</v>
      </c>
      <c r="I76" t="s">
        <v>14</v>
      </c>
    </row>
    <row r="77" spans="1:9" ht="12.75">
      <c r="A77" s="2">
        <v>74</v>
      </c>
      <c r="B77" s="7" t="s">
        <v>1318</v>
      </c>
      <c r="C77" s="7" t="s">
        <v>1327</v>
      </c>
      <c r="D77" s="7" t="s">
        <v>386</v>
      </c>
      <c r="E77" s="8" t="s">
        <v>242</v>
      </c>
      <c r="F77" s="8">
        <v>117567150011</v>
      </c>
      <c r="G77" s="7" t="str">
        <f t="shared" si="4"/>
        <v>117567150011@r6-1.deped.gov.ph</v>
      </c>
      <c r="H77" s="8" t="str">
        <f t="shared" si="5"/>
        <v>baykin,311401</v>
      </c>
      <c r="I77" t="s">
        <v>14</v>
      </c>
    </row>
    <row r="78" spans="1:9" ht="12.75">
      <c r="A78" s="2">
        <v>75</v>
      </c>
      <c r="B78" s="7" t="s">
        <v>1318</v>
      </c>
      <c r="C78" s="7" t="s">
        <v>15</v>
      </c>
      <c r="D78" s="7" t="s">
        <v>1328</v>
      </c>
      <c r="E78" s="8" t="s">
        <v>239</v>
      </c>
      <c r="F78" s="8">
        <v>117567150026</v>
      </c>
      <c r="G78" s="7" t="str">
        <f t="shared" si="4"/>
        <v>117567150026@r6-1.deped.gov.ph</v>
      </c>
      <c r="H78" s="8" t="str">
        <f t="shared" si="5"/>
        <v>bilbar,311401</v>
      </c>
      <c r="I78" t="s">
        <v>14</v>
      </c>
    </row>
    <row r="79" spans="1:9" ht="12.75">
      <c r="A79" s="2">
        <v>76</v>
      </c>
      <c r="B79" s="7" t="s">
        <v>1318</v>
      </c>
      <c r="C79" s="7" t="s">
        <v>1329</v>
      </c>
      <c r="D79" s="7" t="s">
        <v>1330</v>
      </c>
      <c r="E79" s="8" t="s">
        <v>268</v>
      </c>
      <c r="F79" s="8">
        <v>117567150003</v>
      </c>
      <c r="G79" s="7" t="str">
        <f t="shared" si="4"/>
        <v>117567150003@r6-1.deped.gov.ph</v>
      </c>
      <c r="H79" s="8" t="str">
        <f t="shared" si="5"/>
        <v>deliña,311401</v>
      </c>
      <c r="I79" t="s">
        <v>14</v>
      </c>
    </row>
    <row r="80" spans="1:9" ht="12.75">
      <c r="A80" s="2">
        <v>77</v>
      </c>
      <c r="B80" s="7" t="s">
        <v>1318</v>
      </c>
      <c r="C80" s="7" t="s">
        <v>1331</v>
      </c>
      <c r="D80" s="7" t="s">
        <v>1332</v>
      </c>
      <c r="E80" s="8"/>
      <c r="F80" s="8">
        <v>117567150004</v>
      </c>
      <c r="G80" s="7" t="str">
        <f t="shared" si="4"/>
        <v>117567150004@r6-1.deped.gov.ph</v>
      </c>
      <c r="H80" s="8" t="str">
        <f t="shared" si="5"/>
        <v>deocampo,311401</v>
      </c>
      <c r="I80" t="s">
        <v>14</v>
      </c>
    </row>
    <row r="81" spans="1:9" ht="12.75">
      <c r="A81" s="2">
        <v>78</v>
      </c>
      <c r="B81" s="7" t="s">
        <v>1318</v>
      </c>
      <c r="C81" s="7" t="s">
        <v>1213</v>
      </c>
      <c r="D81" s="7" t="s">
        <v>1333</v>
      </c>
      <c r="E81" s="8" t="s">
        <v>252</v>
      </c>
      <c r="F81" s="8">
        <v>108427150036</v>
      </c>
      <c r="G81" s="7" t="str">
        <f t="shared" si="4"/>
        <v>108427150036@r6-1.deped.gov.ph</v>
      </c>
      <c r="H81" s="8" t="str">
        <f t="shared" si="5"/>
        <v>dorias,311401</v>
      </c>
      <c r="I81" t="s">
        <v>14</v>
      </c>
    </row>
    <row r="82" spans="1:9" ht="12.75">
      <c r="A82" s="2">
        <v>79</v>
      </c>
      <c r="B82" s="7" t="s">
        <v>1318</v>
      </c>
      <c r="C82" s="7" t="s">
        <v>1334</v>
      </c>
      <c r="D82" s="7" t="s">
        <v>1335</v>
      </c>
      <c r="E82" s="8" t="s">
        <v>309</v>
      </c>
      <c r="F82" s="8">
        <v>120382150064</v>
      </c>
      <c r="G82" s="7" t="str">
        <f t="shared" si="4"/>
        <v>120382150064@r6-1.deped.gov.ph</v>
      </c>
      <c r="H82" s="8" t="str">
        <f t="shared" si="5"/>
        <v>guayan,311401</v>
      </c>
      <c r="I82" t="s">
        <v>14</v>
      </c>
    </row>
    <row r="83" spans="1:9" ht="12.75">
      <c r="A83" s="2">
        <v>80</v>
      </c>
      <c r="B83" s="7" t="s">
        <v>1318</v>
      </c>
      <c r="C83" s="7" t="s">
        <v>1336</v>
      </c>
      <c r="D83" s="7" t="s">
        <v>1337</v>
      </c>
      <c r="E83" s="8"/>
      <c r="F83" s="8">
        <v>117565150032</v>
      </c>
      <c r="G83" s="7" t="str">
        <f t="shared" si="4"/>
        <v>117565150032@r6-1.deped.gov.ph</v>
      </c>
      <c r="H83" s="8" t="str">
        <f t="shared" si="5"/>
        <v>hangalay,311401</v>
      </c>
      <c r="I83" t="s">
        <v>46</v>
      </c>
    </row>
    <row r="84" spans="1:9" ht="12.75">
      <c r="A84" s="2">
        <v>81</v>
      </c>
      <c r="B84" s="7" t="s">
        <v>1318</v>
      </c>
      <c r="C84" s="7" t="s">
        <v>1338</v>
      </c>
      <c r="D84" s="7" t="s">
        <v>50</v>
      </c>
      <c r="E84" s="8" t="s">
        <v>263</v>
      </c>
      <c r="F84" s="8">
        <v>117565160016</v>
      </c>
      <c r="G84" s="7" t="str">
        <f t="shared" si="4"/>
        <v>117565160016@r6-1.deped.gov.ph</v>
      </c>
      <c r="H84" s="8" t="str">
        <f t="shared" si="5"/>
        <v>ibañez,311401</v>
      </c>
      <c r="I84" t="s">
        <v>14</v>
      </c>
    </row>
    <row r="85" spans="1:9" ht="12.75">
      <c r="A85" s="2">
        <v>82</v>
      </c>
      <c r="B85" s="7" t="s">
        <v>1318</v>
      </c>
      <c r="C85" s="7" t="s">
        <v>1339</v>
      </c>
      <c r="D85" s="7" t="s">
        <v>1340</v>
      </c>
      <c r="E85" s="8" t="s">
        <v>255</v>
      </c>
      <c r="F85" s="8">
        <v>117563150062</v>
      </c>
      <c r="G85" s="7" t="str">
        <f t="shared" si="4"/>
        <v>117563150062@r6-1.deped.gov.ph</v>
      </c>
      <c r="H85" s="8" t="str">
        <f t="shared" si="5"/>
        <v>indino,311401</v>
      </c>
      <c r="I85" t="s">
        <v>14</v>
      </c>
    </row>
    <row r="86" spans="1:9" ht="12.75">
      <c r="A86" s="2">
        <v>83</v>
      </c>
      <c r="B86" s="7" t="s">
        <v>1318</v>
      </c>
      <c r="C86" s="7" t="s">
        <v>1341</v>
      </c>
      <c r="D86" s="7" t="s">
        <v>1342</v>
      </c>
      <c r="E86" s="8" t="s">
        <v>239</v>
      </c>
      <c r="F86" s="8">
        <v>117567140030</v>
      </c>
      <c r="G86" s="7" t="str">
        <f t="shared" si="4"/>
        <v>117567140030@r6-1.deped.gov.ph</v>
      </c>
      <c r="H86" s="8" t="str">
        <f t="shared" si="5"/>
        <v>jimeno,311401</v>
      </c>
      <c r="I86" t="s">
        <v>14</v>
      </c>
    </row>
    <row r="87" spans="1:9" ht="12.75">
      <c r="A87" s="2">
        <v>84</v>
      </c>
      <c r="B87" s="7" t="s">
        <v>1318</v>
      </c>
      <c r="C87" s="7" t="s">
        <v>1343</v>
      </c>
      <c r="D87" s="7" t="s">
        <v>1344</v>
      </c>
      <c r="E87" s="8" t="s">
        <v>281</v>
      </c>
      <c r="F87" s="8">
        <v>117579150003</v>
      </c>
      <c r="G87" s="7" t="str">
        <f t="shared" si="4"/>
        <v>117579150003@r6-1.deped.gov.ph</v>
      </c>
      <c r="H87" s="8" t="str">
        <f t="shared" si="5"/>
        <v>naco,311401</v>
      </c>
      <c r="I87" t="s">
        <v>14</v>
      </c>
    </row>
    <row r="88" spans="1:9" ht="12.75">
      <c r="A88" s="2">
        <v>85</v>
      </c>
      <c r="B88" s="7" t="s">
        <v>1318</v>
      </c>
      <c r="C88" s="7" t="s">
        <v>1345</v>
      </c>
      <c r="D88" s="7" t="s">
        <v>1346</v>
      </c>
      <c r="E88" s="8" t="s">
        <v>239</v>
      </c>
      <c r="F88" s="8">
        <v>117579120086</v>
      </c>
      <c r="G88" s="7" t="str">
        <f t="shared" si="4"/>
        <v>117579120086@r6-1.deped.gov.ph</v>
      </c>
      <c r="H88" s="8" t="str">
        <f t="shared" si="5"/>
        <v>oplas,311401</v>
      </c>
      <c r="I88" t="s">
        <v>14</v>
      </c>
    </row>
    <row r="89" spans="1:9" ht="12.75">
      <c r="A89" s="2">
        <v>86</v>
      </c>
      <c r="B89" s="7" t="s">
        <v>1318</v>
      </c>
      <c r="C89" s="7" t="s">
        <v>1284</v>
      </c>
      <c r="D89" s="7" t="s">
        <v>1347</v>
      </c>
      <c r="E89" s="8" t="s">
        <v>268</v>
      </c>
      <c r="F89" s="8">
        <v>117579140026</v>
      </c>
      <c r="G89" s="7" t="str">
        <f t="shared" si="4"/>
        <v>117579140026@r6-1.deped.gov.ph</v>
      </c>
      <c r="H89" s="8" t="str">
        <f t="shared" si="5"/>
        <v>orbeso,311401</v>
      </c>
      <c r="I89" t="s">
        <v>14</v>
      </c>
    </row>
    <row r="90" spans="1:9" ht="12.75">
      <c r="A90" s="2">
        <v>87</v>
      </c>
      <c r="B90" s="7" t="s">
        <v>1318</v>
      </c>
      <c r="C90" s="7" t="s">
        <v>1348</v>
      </c>
      <c r="D90" s="7" t="s">
        <v>1349</v>
      </c>
      <c r="E90" s="8"/>
      <c r="F90" s="8">
        <v>117567140107</v>
      </c>
      <c r="G90" s="7" t="str">
        <f t="shared" si="4"/>
        <v>117567140107@r6-1.deped.gov.ph</v>
      </c>
      <c r="H90" s="8" t="str">
        <f t="shared" si="5"/>
        <v>pajela,311401</v>
      </c>
      <c r="I90" t="s">
        <v>14</v>
      </c>
    </row>
    <row r="91" spans="1:9" ht="12.75">
      <c r="A91" s="2">
        <v>88</v>
      </c>
      <c r="B91" s="7" t="s">
        <v>1318</v>
      </c>
      <c r="C91" s="7" t="s">
        <v>1350</v>
      </c>
      <c r="D91" s="7" t="s">
        <v>1351</v>
      </c>
      <c r="E91" s="8" t="s">
        <v>263</v>
      </c>
      <c r="F91" s="8">
        <v>117565150011</v>
      </c>
      <c r="G91" s="7" t="str">
        <f t="shared" si="4"/>
        <v>117565150011@r6-1.deped.gov.ph</v>
      </c>
      <c r="H91" s="8" t="str">
        <f t="shared" si="5"/>
        <v>portugues,311401</v>
      </c>
      <c r="I91" t="s">
        <v>14</v>
      </c>
    </row>
    <row r="92" spans="1:9" ht="12.75">
      <c r="A92" s="2">
        <v>89</v>
      </c>
      <c r="B92" s="7" t="s">
        <v>1318</v>
      </c>
      <c r="C92" s="7" t="s">
        <v>1190</v>
      </c>
      <c r="D92" s="7" t="s">
        <v>1352</v>
      </c>
      <c r="E92" s="8" t="s">
        <v>242</v>
      </c>
      <c r="F92" s="8">
        <v>117563150092</v>
      </c>
      <c r="G92" s="7" t="str">
        <f t="shared" si="4"/>
        <v>117563150092@r6-1.deped.gov.ph</v>
      </c>
      <c r="H92" s="8" t="str">
        <f t="shared" si="5"/>
        <v>rosela,311401</v>
      </c>
      <c r="I92" t="s">
        <v>14</v>
      </c>
    </row>
    <row r="93" spans="1:9" ht="12.75">
      <c r="A93" s="2">
        <v>90</v>
      </c>
      <c r="B93" s="7" t="s">
        <v>1318</v>
      </c>
      <c r="C93" s="7" t="s">
        <v>1353</v>
      </c>
      <c r="D93" s="7" t="s">
        <v>1354</v>
      </c>
      <c r="E93" s="8" t="s">
        <v>239</v>
      </c>
      <c r="F93" s="8">
        <v>117630150008</v>
      </c>
      <c r="G93" s="7" t="str">
        <f t="shared" si="4"/>
        <v>117630150008@r6-1.deped.gov.ph</v>
      </c>
      <c r="H93" s="8" t="str">
        <f t="shared" si="5"/>
        <v>rowel,311401</v>
      </c>
      <c r="I93" t="s">
        <v>14</v>
      </c>
    </row>
    <row r="94" spans="1:9" ht="12.75">
      <c r="A94" s="2">
        <v>91</v>
      </c>
      <c r="B94" s="7" t="s">
        <v>1318</v>
      </c>
      <c r="C94" s="7" t="s">
        <v>463</v>
      </c>
      <c r="D94" s="7" t="s">
        <v>976</v>
      </c>
      <c r="E94" s="8" t="s">
        <v>294</v>
      </c>
      <c r="F94" s="8">
        <v>117573140099</v>
      </c>
      <c r="G94" s="7" t="str">
        <f t="shared" si="4"/>
        <v>117573140099@r6-1.deped.gov.ph</v>
      </c>
      <c r="H94" s="8" t="str">
        <f t="shared" si="5"/>
        <v>salvador,311401</v>
      </c>
      <c r="I94" t="s">
        <v>14</v>
      </c>
    </row>
    <row r="95" spans="1:9" ht="12.75">
      <c r="A95" s="2">
        <v>92</v>
      </c>
      <c r="B95" s="7" t="s">
        <v>1318</v>
      </c>
      <c r="C95" s="7" t="s">
        <v>1355</v>
      </c>
      <c r="D95" s="7" t="s">
        <v>1356</v>
      </c>
      <c r="E95" s="8" t="s">
        <v>263</v>
      </c>
      <c r="F95" s="8">
        <v>117565130060</v>
      </c>
      <c r="G95" s="7" t="str">
        <f t="shared" si="4"/>
        <v>117565130060@r6-1.deped.gov.ph</v>
      </c>
      <c r="H95" s="8" t="str">
        <f t="shared" si="5"/>
        <v>san miguel,311401</v>
      </c>
      <c r="I95" t="s">
        <v>14</v>
      </c>
    </row>
    <row r="96" spans="1:9" ht="12.75">
      <c r="A96" s="2">
        <v>93</v>
      </c>
      <c r="B96" s="7" t="s">
        <v>1318</v>
      </c>
      <c r="C96" s="7" t="s">
        <v>1357</v>
      </c>
      <c r="D96" s="7" t="s">
        <v>214</v>
      </c>
      <c r="E96" s="8"/>
      <c r="F96" s="8">
        <v>117567150055</v>
      </c>
      <c r="G96" s="7" t="str">
        <f t="shared" si="4"/>
        <v>117567150055@r6-1.deped.gov.ph</v>
      </c>
      <c r="H96" s="8" t="str">
        <f t="shared" si="5"/>
        <v>antipolo,311401</v>
      </c>
      <c r="I96" t="s">
        <v>14</v>
      </c>
    </row>
    <row r="97" spans="1:9" ht="12.75">
      <c r="A97" s="2">
        <v>94</v>
      </c>
      <c r="B97" s="7" t="s">
        <v>1318</v>
      </c>
      <c r="C97" s="7" t="s">
        <v>606</v>
      </c>
      <c r="D97" s="7" t="s">
        <v>1358</v>
      </c>
      <c r="E97" s="8"/>
      <c r="F97" s="8">
        <v>117567150094</v>
      </c>
      <c r="G97" s="7" t="str">
        <f t="shared" si="4"/>
        <v>117567150094@r6-1.deped.gov.ph</v>
      </c>
      <c r="H97" s="8" t="str">
        <f t="shared" si="5"/>
        <v>arellano,311401</v>
      </c>
      <c r="I97" t="s">
        <v>14</v>
      </c>
    </row>
    <row r="98" spans="1:9" ht="12.75">
      <c r="A98" s="2">
        <v>95</v>
      </c>
      <c r="B98" s="7" t="s">
        <v>1318</v>
      </c>
      <c r="C98" s="7" t="s">
        <v>1225</v>
      </c>
      <c r="D98" s="7" t="s">
        <v>1359</v>
      </c>
      <c r="E98" s="8" t="s">
        <v>294</v>
      </c>
      <c r="F98" s="8">
        <v>117565160020</v>
      </c>
      <c r="G98" s="7" t="str">
        <f t="shared" si="4"/>
        <v>117565160020@r6-1.deped.gov.ph</v>
      </c>
      <c r="H98" s="8" t="str">
        <f t="shared" si="5"/>
        <v>artus,311401</v>
      </c>
      <c r="I98" t="s">
        <v>14</v>
      </c>
    </row>
    <row r="99" spans="1:9" ht="12.75">
      <c r="A99" s="2">
        <v>96</v>
      </c>
      <c r="B99" s="7" t="s">
        <v>1318</v>
      </c>
      <c r="C99" s="7" t="s">
        <v>1360</v>
      </c>
      <c r="D99" s="7" t="s">
        <v>1361</v>
      </c>
      <c r="E99" s="8"/>
      <c r="F99" s="8">
        <v>117047150028</v>
      </c>
      <c r="G99" s="7" t="str">
        <f t="shared" si="4"/>
        <v>117047150028@r6-1.deped.gov.ph</v>
      </c>
      <c r="H99" s="8" t="str">
        <f t="shared" si="5"/>
        <v>dacaldacal,311401</v>
      </c>
      <c r="I99" t="s">
        <v>46</v>
      </c>
    </row>
    <row r="100" spans="1:9" ht="12.75">
      <c r="A100" s="2">
        <v>97</v>
      </c>
      <c r="B100" s="7" t="s">
        <v>1318</v>
      </c>
      <c r="C100" s="7" t="s">
        <v>733</v>
      </c>
      <c r="D100" s="7" t="s">
        <v>1362</v>
      </c>
      <c r="E100" s="8" t="s">
        <v>239</v>
      </c>
      <c r="F100" s="8">
        <v>117565150042</v>
      </c>
      <c r="G100" s="7" t="str">
        <f t="shared" si="4"/>
        <v>117565150042@r6-1.deped.gov.ph</v>
      </c>
      <c r="H100" s="8" t="str">
        <f t="shared" si="5"/>
        <v>derosa,311401</v>
      </c>
      <c r="I100" t="s">
        <v>14</v>
      </c>
    </row>
    <row r="101" spans="1:9" ht="12.75">
      <c r="A101" s="2">
        <v>98</v>
      </c>
      <c r="B101" s="7" t="s">
        <v>1318</v>
      </c>
      <c r="C101" s="7" t="s">
        <v>1213</v>
      </c>
      <c r="D101" s="7" t="s">
        <v>1363</v>
      </c>
      <c r="E101" s="8" t="s">
        <v>252</v>
      </c>
      <c r="F101" s="8">
        <v>117567140093</v>
      </c>
      <c r="G101" s="7" t="str">
        <f t="shared" si="4"/>
        <v>117567140093@r6-1.deped.gov.ph</v>
      </c>
      <c r="H101" s="8" t="str">
        <f t="shared" si="5"/>
        <v>dorias,311401</v>
      </c>
      <c r="I101" t="s">
        <v>14</v>
      </c>
    </row>
    <row r="102" spans="1:9" ht="12.75">
      <c r="A102" s="2">
        <v>99</v>
      </c>
      <c r="B102" s="7" t="s">
        <v>1318</v>
      </c>
      <c r="C102" s="7" t="s">
        <v>1200</v>
      </c>
      <c r="D102" s="7" t="s">
        <v>214</v>
      </c>
      <c r="E102" s="8" t="s">
        <v>268</v>
      </c>
      <c r="F102" s="8">
        <v>117563150073</v>
      </c>
      <c r="G102" s="7" t="str">
        <f t="shared" si="4"/>
        <v>117563150073@r6-1.deped.gov.ph</v>
      </c>
      <c r="H102" s="8" t="str">
        <f t="shared" si="5"/>
        <v>estioco,311401</v>
      </c>
      <c r="I102" t="s">
        <v>14</v>
      </c>
    </row>
    <row r="103" spans="1:9" ht="12.75">
      <c r="A103" s="2">
        <v>100</v>
      </c>
      <c r="B103" s="7" t="s">
        <v>1318</v>
      </c>
      <c r="C103" s="7" t="s">
        <v>1364</v>
      </c>
      <c r="D103" s="7" t="s">
        <v>576</v>
      </c>
      <c r="E103" s="8" t="s">
        <v>444</v>
      </c>
      <c r="F103" s="8">
        <v>119821150029</v>
      </c>
      <c r="G103" s="7" t="str">
        <f t="shared" si="4"/>
        <v>119821150029@r6-1.deped.gov.ph</v>
      </c>
      <c r="H103" s="8" t="str">
        <f t="shared" si="5"/>
        <v>gabiola,311401</v>
      </c>
      <c r="I103" t="s">
        <v>14</v>
      </c>
    </row>
    <row r="104" spans="1:9" ht="12.75">
      <c r="A104" s="2">
        <v>101</v>
      </c>
      <c r="B104" s="7" t="s">
        <v>1318</v>
      </c>
      <c r="C104" s="7" t="s">
        <v>1253</v>
      </c>
      <c r="D104" s="7" t="s">
        <v>1365</v>
      </c>
      <c r="E104" s="8" t="s">
        <v>242</v>
      </c>
      <c r="F104" s="8">
        <v>117563150079</v>
      </c>
      <c r="G104" s="7" t="str">
        <f t="shared" si="4"/>
        <v>117563150079@r6-1.deped.gov.ph</v>
      </c>
      <c r="H104" s="8" t="str">
        <f t="shared" si="5"/>
        <v>paunalan,311401</v>
      </c>
      <c r="I104" t="s">
        <v>14</v>
      </c>
    </row>
    <row r="105" spans="1:9" ht="12.75">
      <c r="A105" s="2">
        <v>102</v>
      </c>
      <c r="B105" s="7" t="s">
        <v>1318</v>
      </c>
      <c r="C105" s="7" t="s">
        <v>1366</v>
      </c>
      <c r="D105" s="7" t="s">
        <v>1367</v>
      </c>
      <c r="E105" s="8" t="s">
        <v>281</v>
      </c>
      <c r="F105" s="8">
        <v>117565150025</v>
      </c>
      <c r="G105" s="7" t="str">
        <f t="shared" si="4"/>
        <v>117565150025@r6-1.deped.gov.ph</v>
      </c>
      <c r="H105" s="8" t="str">
        <f t="shared" si="5"/>
        <v>soloria,311401</v>
      </c>
      <c r="I105" t="s">
        <v>46</v>
      </c>
    </row>
    <row r="106" spans="1:9" ht="12.75">
      <c r="A106" s="2">
        <v>103</v>
      </c>
      <c r="B106" s="7" t="s">
        <v>1318</v>
      </c>
      <c r="C106" s="7" t="s">
        <v>1368</v>
      </c>
      <c r="D106" s="7" t="s">
        <v>1369</v>
      </c>
      <c r="E106" s="8" t="s">
        <v>739</v>
      </c>
      <c r="F106" s="8">
        <v>117567150044</v>
      </c>
      <c r="G106" s="7" t="str">
        <f t="shared" si="4"/>
        <v>117567150044@r6-1.deped.gov.ph</v>
      </c>
      <c r="H106" s="8" t="str">
        <f t="shared" si="5"/>
        <v>sorianosos,311401</v>
      </c>
      <c r="I106" t="s">
        <v>14</v>
      </c>
    </row>
    <row r="107" spans="1:9" ht="12.75">
      <c r="A107" s="2">
        <v>104</v>
      </c>
      <c r="B107" s="7" t="s">
        <v>1318</v>
      </c>
      <c r="C107" s="7" t="s">
        <v>1370</v>
      </c>
      <c r="D107" s="7" t="s">
        <v>1371</v>
      </c>
      <c r="E107" s="8"/>
      <c r="F107" s="8">
        <v>117567150064</v>
      </c>
      <c r="G107" s="7" t="str">
        <f t="shared" si="4"/>
        <v>117567150064@r6-1.deped.gov.ph</v>
      </c>
      <c r="H107" s="8" t="str">
        <f t="shared" si="5"/>
        <v>taparan,311401</v>
      </c>
      <c r="I107" t="s">
        <v>14</v>
      </c>
    </row>
    <row r="108" spans="1:9" ht="12.75">
      <c r="A108" s="2">
        <v>105</v>
      </c>
      <c r="B108" s="7"/>
      <c r="C108" s="7"/>
      <c r="D108" s="7"/>
      <c r="E108" s="8"/>
      <c r="F108" s="8"/>
      <c r="G108" s="7" t="str">
        <f t="shared" ref="G108:G362" si="6">IF(F108="","",F108&amp;"@r6-1.deped.gov.ph")</f>
        <v/>
      </c>
      <c r="H108" s="8"/>
    </row>
    <row r="109" spans="1:9" ht="12.75">
      <c r="A109" s="2">
        <v>106</v>
      </c>
      <c r="B109" s="7"/>
      <c r="C109" s="7"/>
      <c r="D109" s="7"/>
      <c r="E109" s="8"/>
      <c r="F109" s="8"/>
      <c r="G109" s="7" t="str">
        <f t="shared" si="6"/>
        <v/>
      </c>
      <c r="H109" s="8"/>
    </row>
    <row r="110" spans="1:9" ht="12.75">
      <c r="A110" s="2">
        <v>107</v>
      </c>
      <c r="B110" s="7"/>
      <c r="C110" s="7"/>
      <c r="D110" s="7"/>
      <c r="E110" s="8"/>
      <c r="F110" s="8"/>
      <c r="G110" s="7" t="str">
        <f t="shared" si="6"/>
        <v/>
      </c>
      <c r="H110" s="8"/>
    </row>
    <row r="111" spans="1:9" ht="12.75">
      <c r="A111" s="2">
        <v>108</v>
      </c>
      <c r="B111" s="7"/>
      <c r="C111" s="7"/>
      <c r="D111" s="7"/>
      <c r="E111" s="8"/>
      <c r="F111" s="8"/>
      <c r="G111" s="7" t="str">
        <f t="shared" si="6"/>
        <v/>
      </c>
      <c r="H111" s="8"/>
    </row>
    <row r="112" spans="1:9" ht="12.75">
      <c r="A112" s="2">
        <v>109</v>
      </c>
      <c r="B112" s="7"/>
      <c r="C112" s="7"/>
      <c r="D112" s="7"/>
      <c r="E112" s="8"/>
      <c r="F112" s="8"/>
      <c r="G112" s="7" t="str">
        <f t="shared" si="6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6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6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6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6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6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6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6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6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6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6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6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6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6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6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6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6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6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6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6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6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6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6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6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6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6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6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6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6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6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6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6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6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6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6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6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6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6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6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6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6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6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6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6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6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6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6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6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6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6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6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6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6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6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6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6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6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6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6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6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6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6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6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6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6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6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6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6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6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6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6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6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6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6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6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6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6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6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6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6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6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6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6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6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6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6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6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6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6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6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6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6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6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6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6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6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6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6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6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6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6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6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6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6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6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6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6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6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6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6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6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6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6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6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6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6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6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6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6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6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6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6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6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6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6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6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6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6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6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6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6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6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6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6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6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6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6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6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6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6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6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6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6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6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6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6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6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6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6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6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6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6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6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6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6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6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6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6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6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6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6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6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6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6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6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6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6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6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6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6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6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6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6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6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6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6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6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6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6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6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6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6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6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6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6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6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6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6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6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6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6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6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6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6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6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6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6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6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6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6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6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6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6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6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6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6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6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6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6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6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6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6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6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6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6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6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6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6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6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6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6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6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6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6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6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6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6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6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6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6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6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6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6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6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6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6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6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6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6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6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6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6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6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6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6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6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6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6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6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6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6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ref="G363:G503" si="7">IF(F363="","",F363&amp;"@r6-1.deped.gov.ph")</f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7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7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7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7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7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7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7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7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7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7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7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7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7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7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7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7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7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7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7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7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7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7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7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7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7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7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7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7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7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7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7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7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7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7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7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7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7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7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7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7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7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7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7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7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7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7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7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7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7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7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7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7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7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7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7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7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7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7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7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7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7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7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7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7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7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7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7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7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7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7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7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7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7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7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7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7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7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7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7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7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7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7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7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7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7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7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7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7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7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7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7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7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7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7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7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7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7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7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7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7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7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7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7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7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7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7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7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7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7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7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7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7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7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7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7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7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7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7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7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7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7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7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7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7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7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7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7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7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7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7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7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7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7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7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7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7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7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7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7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7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2"/>
  <sheetViews>
    <sheetView topLeftCell="F1" workbookViewId="0">
      <pane ySplit="3" topLeftCell="A16" activePane="bottomLeft" state="frozen"/>
      <selection pane="bottomLeft" activeCell="I52" sqref="I52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1372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1373</v>
      </c>
      <c r="C4" s="7" t="s">
        <v>1374</v>
      </c>
      <c r="D4" s="7" t="s">
        <v>1375</v>
      </c>
      <c r="E4" s="8" t="s">
        <v>239</v>
      </c>
      <c r="F4" s="8">
        <v>117579150040</v>
      </c>
      <c r="G4" s="7" t="str">
        <f t="shared" ref="G4:G52" si="0">IF(F4="","",F4&amp;"@r6-1.deped.gov.ph")</f>
        <v>117579150040@r6-1.deped.gov.ph</v>
      </c>
      <c r="H4" s="8" t="str">
        <f>IF(C4="","",LOWER(C4)&amp;",311402")</f>
        <v>bermejo,311402</v>
      </c>
      <c r="I4" t="s">
        <v>14</v>
      </c>
    </row>
    <row r="5" spans="1:11" ht="12.75">
      <c r="A5" s="2">
        <v>2</v>
      </c>
      <c r="B5" s="7" t="s">
        <v>1373</v>
      </c>
      <c r="C5" s="7" t="s">
        <v>1376</v>
      </c>
      <c r="D5" s="7" t="s">
        <v>249</v>
      </c>
      <c r="E5" s="8" t="s">
        <v>268</v>
      </c>
      <c r="F5" s="8">
        <v>117577130001</v>
      </c>
      <c r="G5" s="7"/>
      <c r="H5" s="8"/>
    </row>
    <row r="6" spans="1:11" ht="12.75">
      <c r="A6" s="2">
        <v>3</v>
      </c>
      <c r="B6" s="7" t="s">
        <v>1373</v>
      </c>
      <c r="C6" s="7" t="s">
        <v>1377</v>
      </c>
      <c r="D6" s="7" t="s">
        <v>1378</v>
      </c>
      <c r="E6" s="8" t="s">
        <v>242</v>
      </c>
      <c r="F6" s="8">
        <v>117250150096</v>
      </c>
      <c r="G6" s="7" t="str">
        <f t="shared" si="0"/>
        <v>117250150096@r6-1.deped.gov.ph</v>
      </c>
      <c r="H6" s="8" t="str">
        <f t="shared" ref="H6:H52" si="1">IF(C6="","",LOWER(C6)&amp;",311402")</f>
        <v>catipunan,311402</v>
      </c>
      <c r="I6" t="s">
        <v>14</v>
      </c>
    </row>
    <row r="7" spans="1:11" ht="12.75">
      <c r="A7" s="2">
        <v>4</v>
      </c>
      <c r="B7" s="7" t="s">
        <v>1373</v>
      </c>
      <c r="C7" s="7" t="s">
        <v>383</v>
      </c>
      <c r="D7" s="7" t="s">
        <v>1379</v>
      </c>
      <c r="E7" s="8" t="s">
        <v>268</v>
      </c>
      <c r="F7" s="8">
        <v>117579150009</v>
      </c>
      <c r="G7" s="7" t="str">
        <f t="shared" si="0"/>
        <v>117579150009@r6-1.deped.gov.ph</v>
      </c>
      <c r="H7" s="8" t="str">
        <f t="shared" si="1"/>
        <v>gonzales,311402</v>
      </c>
      <c r="I7" t="s">
        <v>14</v>
      </c>
    </row>
    <row r="8" spans="1:11" ht="12.75">
      <c r="A8" s="2">
        <v>5</v>
      </c>
      <c r="B8" s="7" t="s">
        <v>1373</v>
      </c>
      <c r="C8" s="7" t="s">
        <v>1074</v>
      </c>
      <c r="D8" s="7" t="s">
        <v>1380</v>
      </c>
      <c r="E8" s="8" t="s">
        <v>311</v>
      </c>
      <c r="F8" s="8">
        <v>117579140046</v>
      </c>
      <c r="G8" s="7" t="str">
        <f t="shared" si="0"/>
        <v>117579140046@r6-1.deped.gov.ph</v>
      </c>
      <c r="H8" s="8" t="str">
        <f t="shared" si="1"/>
        <v>lozada,311402</v>
      </c>
      <c r="I8" t="s">
        <v>14</v>
      </c>
    </row>
    <row r="9" spans="1:11" ht="12.75">
      <c r="A9" s="2">
        <v>6</v>
      </c>
      <c r="B9" s="7" t="s">
        <v>1373</v>
      </c>
      <c r="C9" s="7" t="s">
        <v>1381</v>
      </c>
      <c r="D9" s="7" t="s">
        <v>1382</v>
      </c>
      <c r="E9" s="8"/>
      <c r="F9" s="8">
        <v>117579160036</v>
      </c>
      <c r="G9" s="7" t="str">
        <f t="shared" si="0"/>
        <v>117579160036@r6-1.deped.gov.ph</v>
      </c>
      <c r="H9" s="8" t="str">
        <f t="shared" si="1"/>
        <v>maquilan ,311402</v>
      </c>
      <c r="I9" t="s">
        <v>14</v>
      </c>
    </row>
    <row r="10" spans="1:11" ht="12.75">
      <c r="A10" s="2">
        <v>7</v>
      </c>
      <c r="B10" s="7" t="s">
        <v>1373</v>
      </c>
      <c r="C10" s="7" t="s">
        <v>1383</v>
      </c>
      <c r="D10" s="7" t="s">
        <v>1384</v>
      </c>
      <c r="E10" s="8" t="s">
        <v>263</v>
      </c>
      <c r="F10" s="8">
        <v>117579150055</v>
      </c>
      <c r="G10" s="7" t="str">
        <f t="shared" si="0"/>
        <v>117579150055@r6-1.deped.gov.ph</v>
      </c>
      <c r="H10" s="8" t="str">
        <f t="shared" si="1"/>
        <v>otivo,311402</v>
      </c>
      <c r="I10" t="s">
        <v>14</v>
      </c>
    </row>
    <row r="11" spans="1:11" ht="12.75">
      <c r="A11" s="2">
        <v>8</v>
      </c>
      <c r="B11" s="7" t="s">
        <v>1373</v>
      </c>
      <c r="C11" s="7" t="s">
        <v>1385</v>
      </c>
      <c r="D11" s="7" t="s">
        <v>1386</v>
      </c>
      <c r="E11" s="8"/>
      <c r="F11" s="8">
        <v>117579150014</v>
      </c>
      <c r="G11" s="7" t="str">
        <f t="shared" si="0"/>
        <v>117579150014@r6-1.deped.gov.ph</v>
      </c>
      <c r="H11" s="8" t="str">
        <f t="shared" si="1"/>
        <v>roquero,311402</v>
      </c>
      <c r="I11" t="s">
        <v>14</v>
      </c>
    </row>
    <row r="12" spans="1:11" ht="12.75">
      <c r="A12" s="2">
        <v>9</v>
      </c>
      <c r="B12" s="7" t="s">
        <v>1373</v>
      </c>
      <c r="C12" s="7" t="s">
        <v>349</v>
      </c>
      <c r="D12" s="7" t="s">
        <v>1387</v>
      </c>
      <c r="E12" s="8" t="s">
        <v>268</v>
      </c>
      <c r="F12" s="8">
        <v>117579150004</v>
      </c>
      <c r="G12" s="7" t="str">
        <f t="shared" si="0"/>
        <v>117579150004@r6-1.deped.gov.ph</v>
      </c>
      <c r="H12" s="8" t="str">
        <f t="shared" si="1"/>
        <v>santillan,311402</v>
      </c>
      <c r="I12" t="s">
        <v>14</v>
      </c>
    </row>
    <row r="13" spans="1:11" ht="12.75">
      <c r="A13" s="2">
        <v>10</v>
      </c>
      <c r="B13" s="7" t="s">
        <v>1373</v>
      </c>
      <c r="C13" s="7" t="s">
        <v>1388</v>
      </c>
      <c r="D13" s="7" t="s">
        <v>1389</v>
      </c>
      <c r="E13" s="8" t="s">
        <v>255</v>
      </c>
      <c r="F13" s="8">
        <v>117579150012</v>
      </c>
      <c r="G13" s="7" t="str">
        <f t="shared" si="0"/>
        <v>117579150012@r6-1.deped.gov.ph</v>
      </c>
      <c r="H13" s="8" t="str">
        <f t="shared" si="1"/>
        <v>suplagio,311402</v>
      </c>
      <c r="I13" t="s">
        <v>14</v>
      </c>
    </row>
    <row r="14" spans="1:11" ht="12.75">
      <c r="A14" s="2">
        <v>11</v>
      </c>
      <c r="B14" s="7" t="s">
        <v>1373</v>
      </c>
      <c r="C14" s="7" t="s">
        <v>1390</v>
      </c>
      <c r="D14" s="7" t="s">
        <v>1391</v>
      </c>
      <c r="E14" s="8" t="s">
        <v>361</v>
      </c>
      <c r="F14" s="8">
        <v>117567150053</v>
      </c>
      <c r="G14" s="7" t="str">
        <f t="shared" si="0"/>
        <v>117567150053@r6-1.deped.gov.ph</v>
      </c>
      <c r="H14" s="8" t="str">
        <f t="shared" si="1"/>
        <v>tario,311402</v>
      </c>
      <c r="I14" t="s">
        <v>14</v>
      </c>
    </row>
    <row r="15" spans="1:11" ht="12.75">
      <c r="A15" s="2">
        <v>12</v>
      </c>
      <c r="B15" s="7" t="s">
        <v>1373</v>
      </c>
      <c r="C15" s="7" t="s">
        <v>1392</v>
      </c>
      <c r="D15" s="7" t="s">
        <v>1393</v>
      </c>
      <c r="E15" s="8" t="s">
        <v>263</v>
      </c>
      <c r="F15" s="8">
        <v>117579150054</v>
      </c>
      <c r="G15" s="7" t="str">
        <f t="shared" si="0"/>
        <v>117579150054@r6-1.deped.gov.ph</v>
      </c>
      <c r="H15" s="8" t="str">
        <f t="shared" si="1"/>
        <v>tomo,311402</v>
      </c>
      <c r="I15" t="s">
        <v>14</v>
      </c>
    </row>
    <row r="16" spans="1:11" ht="12.75">
      <c r="A16" s="2">
        <v>13</v>
      </c>
      <c r="B16" s="7" t="s">
        <v>1373</v>
      </c>
      <c r="C16" s="7" t="s">
        <v>556</v>
      </c>
      <c r="D16" s="7" t="s">
        <v>1394</v>
      </c>
      <c r="E16" s="8" t="s">
        <v>257</v>
      </c>
      <c r="F16" s="8">
        <v>117577140022</v>
      </c>
      <c r="G16" s="7" t="str">
        <f t="shared" si="0"/>
        <v>117577140022@r6-1.deped.gov.ph</v>
      </c>
      <c r="H16" s="8" t="str">
        <f t="shared" si="1"/>
        <v>canoy,311402</v>
      </c>
      <c r="I16" t="s">
        <v>14</v>
      </c>
    </row>
    <row r="17" spans="1:9" ht="12.75">
      <c r="A17" s="2">
        <v>14</v>
      </c>
      <c r="B17" s="7" t="s">
        <v>1373</v>
      </c>
      <c r="C17" s="7" t="s">
        <v>1377</v>
      </c>
      <c r="D17" s="7" t="s">
        <v>1395</v>
      </c>
      <c r="E17" s="8" t="s">
        <v>239</v>
      </c>
      <c r="F17" s="8">
        <v>117250150058</v>
      </c>
      <c r="G17" s="7" t="str">
        <f t="shared" si="0"/>
        <v>117250150058@r6-1.deped.gov.ph</v>
      </c>
      <c r="H17" s="8" t="str">
        <f t="shared" si="1"/>
        <v>catipunan,311402</v>
      </c>
      <c r="I17" t="s">
        <v>14</v>
      </c>
    </row>
    <row r="18" spans="1:9" ht="12.75">
      <c r="A18" s="2">
        <v>15</v>
      </c>
      <c r="B18" s="7" t="s">
        <v>1373</v>
      </c>
      <c r="C18" s="7" t="s">
        <v>29</v>
      </c>
      <c r="D18" s="7" t="s">
        <v>1396</v>
      </c>
      <c r="E18" s="8" t="s">
        <v>263</v>
      </c>
      <c r="F18" s="8">
        <v>117577150015</v>
      </c>
      <c r="G18" s="7" t="str">
        <f t="shared" si="0"/>
        <v>117577150015@r6-1.deped.gov.ph</v>
      </c>
      <c r="H18" s="8" t="str">
        <f t="shared" si="1"/>
        <v>duca,311402</v>
      </c>
      <c r="I18" t="s">
        <v>14</v>
      </c>
    </row>
    <row r="19" spans="1:9" ht="12.75">
      <c r="A19" s="2">
        <v>16</v>
      </c>
      <c r="B19" s="7" t="s">
        <v>1373</v>
      </c>
      <c r="C19" s="7" t="s">
        <v>1397</v>
      </c>
      <c r="D19" s="7" t="s">
        <v>1398</v>
      </c>
      <c r="E19" s="8" t="s">
        <v>1399</v>
      </c>
      <c r="F19" s="8">
        <v>117579150037</v>
      </c>
      <c r="G19" s="7" t="str">
        <f t="shared" si="0"/>
        <v>117579150037@r6-1.deped.gov.ph</v>
      </c>
      <c r="H19" s="8" t="str">
        <f t="shared" si="1"/>
        <v>durilag,311402</v>
      </c>
      <c r="I19" t="s">
        <v>14</v>
      </c>
    </row>
    <row r="20" spans="1:9" ht="12.75">
      <c r="A20" s="2">
        <v>17</v>
      </c>
      <c r="B20" s="7" t="s">
        <v>1373</v>
      </c>
      <c r="C20" s="7" t="s">
        <v>1400</v>
      </c>
      <c r="D20" s="7" t="s">
        <v>1401</v>
      </c>
      <c r="E20" s="8" t="s">
        <v>231</v>
      </c>
      <c r="F20" s="8">
        <v>117578150030</v>
      </c>
      <c r="G20" s="7" t="str">
        <f t="shared" si="0"/>
        <v>117578150030@r6-1.deped.gov.ph</v>
      </c>
      <c r="H20" s="8" t="str">
        <f t="shared" si="1"/>
        <v>etomay,311402</v>
      </c>
      <c r="I20" t="s">
        <v>14</v>
      </c>
    </row>
    <row r="21" spans="1:9" ht="12.75">
      <c r="A21" s="2">
        <v>18</v>
      </c>
      <c r="B21" s="7" t="s">
        <v>1373</v>
      </c>
      <c r="C21" s="7" t="s">
        <v>1402</v>
      </c>
      <c r="D21" s="7" t="s">
        <v>1403</v>
      </c>
      <c r="E21" s="8" t="s">
        <v>311</v>
      </c>
      <c r="F21" s="8">
        <v>117578150020</v>
      </c>
      <c r="G21" s="7" t="str">
        <f t="shared" si="0"/>
        <v>117578150020@r6-1.deped.gov.ph</v>
      </c>
      <c r="H21" s="8" t="str">
        <f t="shared" si="1"/>
        <v>evangelio,311402</v>
      </c>
      <c r="I21" t="s">
        <v>14</v>
      </c>
    </row>
    <row r="22" spans="1:9" ht="12.75">
      <c r="A22" s="2">
        <v>19</v>
      </c>
      <c r="B22" s="7" t="s">
        <v>1373</v>
      </c>
      <c r="C22" s="7" t="s">
        <v>1404</v>
      </c>
      <c r="D22" s="7" t="s">
        <v>1405</v>
      </c>
      <c r="E22" s="8" t="s">
        <v>252</v>
      </c>
      <c r="F22" s="8">
        <v>11759160022</v>
      </c>
      <c r="G22" s="7" t="str">
        <f t="shared" si="0"/>
        <v>11759160022@r6-1.deped.gov.ph</v>
      </c>
      <c r="H22" s="8" t="str">
        <f t="shared" si="1"/>
        <v>gardoce,311402</v>
      </c>
      <c r="I22" t="s">
        <v>46</v>
      </c>
    </row>
    <row r="23" spans="1:9" ht="12.75">
      <c r="A23" s="2">
        <v>20</v>
      </c>
      <c r="B23" s="7" t="s">
        <v>1373</v>
      </c>
      <c r="C23" s="7" t="s">
        <v>1406</v>
      </c>
      <c r="D23" s="7" t="s">
        <v>1407</v>
      </c>
      <c r="E23" s="8" t="s">
        <v>263</v>
      </c>
      <c r="F23" s="8">
        <v>117579150023</v>
      </c>
      <c r="G23" s="7" t="str">
        <f t="shared" si="0"/>
        <v>117579150023@r6-1.deped.gov.ph</v>
      </c>
      <c r="H23" s="8" t="str">
        <f t="shared" si="1"/>
        <v>rosios,311402</v>
      </c>
      <c r="I23" t="s">
        <v>14</v>
      </c>
    </row>
    <row r="24" spans="1:9" ht="12.75">
      <c r="A24" s="2">
        <v>21</v>
      </c>
      <c r="B24" s="7" t="s">
        <v>1373</v>
      </c>
      <c r="C24" s="7" t="s">
        <v>403</v>
      </c>
      <c r="D24" s="7" t="s">
        <v>1408</v>
      </c>
      <c r="E24" s="8" t="s">
        <v>268</v>
      </c>
      <c r="F24" s="8">
        <v>117577150013</v>
      </c>
      <c r="G24" s="7" t="str">
        <f t="shared" si="0"/>
        <v>117577150013@r6-1.deped.gov.ph</v>
      </c>
      <c r="H24" s="8" t="str">
        <f t="shared" si="1"/>
        <v>villanueva,311402</v>
      </c>
      <c r="I24" t="s">
        <v>14</v>
      </c>
    </row>
    <row r="25" spans="1:9" ht="12.75">
      <c r="A25" s="2">
        <v>22</v>
      </c>
      <c r="B25" s="7" t="s">
        <v>1373</v>
      </c>
      <c r="C25" s="7" t="s">
        <v>403</v>
      </c>
      <c r="D25" s="7" t="s">
        <v>1409</v>
      </c>
      <c r="E25" s="8" t="s">
        <v>255</v>
      </c>
      <c r="F25" s="8">
        <v>117577150014</v>
      </c>
      <c r="G25" s="7" t="str">
        <f t="shared" si="0"/>
        <v>117577150014@r6-1.deped.gov.ph</v>
      </c>
      <c r="H25" s="8" t="str">
        <f t="shared" si="1"/>
        <v>villanueva,311402</v>
      </c>
      <c r="I25" t="s">
        <v>14</v>
      </c>
    </row>
    <row r="26" spans="1:9" ht="12.75">
      <c r="A26" s="2">
        <v>23</v>
      </c>
      <c r="B26" s="7" t="s">
        <v>1373</v>
      </c>
      <c r="C26" s="7" t="s">
        <v>403</v>
      </c>
      <c r="D26" s="7" t="s">
        <v>1410</v>
      </c>
      <c r="E26" s="8" t="s">
        <v>239</v>
      </c>
      <c r="F26" s="8">
        <v>117578150027</v>
      </c>
      <c r="G26" s="7" t="str">
        <f t="shared" si="0"/>
        <v>117578150027@r6-1.deped.gov.ph</v>
      </c>
      <c r="H26" s="8" t="str">
        <f t="shared" si="1"/>
        <v>villanueva,311402</v>
      </c>
      <c r="I26" t="s">
        <v>14</v>
      </c>
    </row>
    <row r="27" spans="1:9" ht="12.75">
      <c r="A27" s="2">
        <v>24</v>
      </c>
      <c r="B27" s="7" t="s">
        <v>1373</v>
      </c>
      <c r="C27" s="7" t="s">
        <v>1411</v>
      </c>
      <c r="D27" s="7" t="s">
        <v>1412</v>
      </c>
      <c r="E27" s="8" t="s">
        <v>300</v>
      </c>
      <c r="F27" s="8">
        <v>117243140027</v>
      </c>
      <c r="G27" s="7" t="str">
        <f t="shared" si="0"/>
        <v>117243140027@r6-1.deped.gov.ph</v>
      </c>
      <c r="H27" s="8" t="str">
        <f t="shared" si="1"/>
        <v>yudo,311402</v>
      </c>
      <c r="I27" t="s">
        <v>46</v>
      </c>
    </row>
    <row r="28" spans="1:9" ht="12.75">
      <c r="A28" s="2">
        <v>25</v>
      </c>
      <c r="B28" s="7" t="s">
        <v>1413</v>
      </c>
      <c r="C28" s="7" t="s">
        <v>1414</v>
      </c>
      <c r="D28" s="7" t="s">
        <v>1415</v>
      </c>
      <c r="E28" s="8" t="s">
        <v>263</v>
      </c>
      <c r="F28" s="8">
        <v>117579150001</v>
      </c>
      <c r="G28" s="7" t="str">
        <f t="shared" si="0"/>
        <v>117579150001@r6-1.deped.gov.ph</v>
      </c>
      <c r="H28" s="8" t="str">
        <f t="shared" si="1"/>
        <v>agustin,311402</v>
      </c>
      <c r="I28" t="s">
        <v>14</v>
      </c>
    </row>
    <row r="29" spans="1:9" ht="12.75">
      <c r="A29" s="2">
        <v>26</v>
      </c>
      <c r="B29" s="7" t="s">
        <v>1413</v>
      </c>
      <c r="C29" s="7" t="s">
        <v>1416</v>
      </c>
      <c r="D29" s="7" t="s">
        <v>1417</v>
      </c>
      <c r="E29" s="8" t="s">
        <v>231</v>
      </c>
      <c r="F29" s="8">
        <v>117579150010</v>
      </c>
      <c r="G29" s="7" t="str">
        <f t="shared" si="0"/>
        <v>117579150010@r6-1.deped.gov.ph</v>
      </c>
      <c r="H29" s="8" t="str">
        <f t="shared" si="1"/>
        <v>alcontin,311402</v>
      </c>
      <c r="I29" t="s">
        <v>14</v>
      </c>
    </row>
    <row r="30" spans="1:9" ht="12.75">
      <c r="A30" s="2">
        <v>27</v>
      </c>
      <c r="B30" s="7" t="s">
        <v>1413</v>
      </c>
      <c r="C30" s="7" t="s">
        <v>1418</v>
      </c>
      <c r="D30" s="7" t="s">
        <v>1419</v>
      </c>
      <c r="E30" s="8" t="s">
        <v>361</v>
      </c>
      <c r="F30" s="8">
        <v>117579140041</v>
      </c>
      <c r="G30" s="7" t="str">
        <f t="shared" si="0"/>
        <v>117579140041@r6-1.deped.gov.ph</v>
      </c>
      <c r="H30" s="8" t="str">
        <f t="shared" si="1"/>
        <v>batic-batic,311402</v>
      </c>
      <c r="I30" t="s">
        <v>14</v>
      </c>
    </row>
    <row r="31" spans="1:9" ht="12.75">
      <c r="A31" s="2">
        <v>28</v>
      </c>
      <c r="B31" s="7" t="s">
        <v>1413</v>
      </c>
      <c r="C31" s="7" t="s">
        <v>1420</v>
      </c>
      <c r="D31" s="7" t="s">
        <v>1421</v>
      </c>
      <c r="E31" s="8" t="s">
        <v>239</v>
      </c>
      <c r="F31" s="8">
        <v>117579150039</v>
      </c>
      <c r="G31" s="7" t="str">
        <f t="shared" si="0"/>
        <v>117579150039@r6-1.deped.gov.ph</v>
      </c>
      <c r="H31" s="8" t="str">
        <f t="shared" si="1"/>
        <v>bejerano,311402</v>
      </c>
      <c r="I31" t="s">
        <v>14</v>
      </c>
    </row>
    <row r="32" spans="1:9" ht="12.75">
      <c r="A32" s="2">
        <v>29</v>
      </c>
      <c r="B32" s="7" t="s">
        <v>1413</v>
      </c>
      <c r="C32" s="7" t="s">
        <v>1422</v>
      </c>
      <c r="D32" s="7" t="s">
        <v>1423</v>
      </c>
      <c r="E32" s="8" t="s">
        <v>242</v>
      </c>
      <c r="F32" s="8">
        <v>117579150025</v>
      </c>
      <c r="G32" s="7" t="str">
        <f t="shared" si="0"/>
        <v>117579150025@r6-1.deped.gov.ph</v>
      </c>
      <c r="H32" s="8" t="str">
        <f t="shared" si="1"/>
        <v>dejan,311402</v>
      </c>
      <c r="I32" t="s">
        <v>14</v>
      </c>
    </row>
    <row r="33" spans="1:9" ht="12.75">
      <c r="A33" s="2">
        <v>30</v>
      </c>
      <c r="B33" s="7" t="s">
        <v>1413</v>
      </c>
      <c r="C33" s="7" t="s">
        <v>539</v>
      </c>
      <c r="D33" s="7" t="s">
        <v>1424</v>
      </c>
      <c r="E33" s="8" t="s">
        <v>239</v>
      </c>
      <c r="F33" s="8">
        <v>117579150006</v>
      </c>
      <c r="G33" s="7" t="str">
        <f t="shared" si="0"/>
        <v>117579150006@r6-1.deped.gov.ph</v>
      </c>
      <c r="H33" s="8" t="str">
        <f t="shared" si="1"/>
        <v>java,311402</v>
      </c>
      <c r="I33" t="s">
        <v>14</v>
      </c>
    </row>
    <row r="34" spans="1:9" ht="12.75">
      <c r="A34" s="2">
        <v>31</v>
      </c>
      <c r="B34" s="7" t="s">
        <v>1413</v>
      </c>
      <c r="C34" s="7" t="s">
        <v>1425</v>
      </c>
      <c r="D34" s="7" t="s">
        <v>1275</v>
      </c>
      <c r="E34" s="8" t="s">
        <v>257</v>
      </c>
      <c r="F34" s="8">
        <v>117578150017</v>
      </c>
      <c r="G34" s="7" t="str">
        <f t="shared" si="0"/>
        <v>117578150017@r6-1.deped.gov.ph</v>
      </c>
      <c r="H34" s="8" t="str">
        <f t="shared" si="1"/>
        <v>lagod,311402</v>
      </c>
      <c r="I34" t="s">
        <v>14</v>
      </c>
    </row>
    <row r="35" spans="1:9" ht="12.75">
      <c r="A35" s="2">
        <v>32</v>
      </c>
      <c r="B35" s="7" t="s">
        <v>1413</v>
      </c>
      <c r="C35" s="7" t="s">
        <v>40</v>
      </c>
      <c r="D35" s="7" t="s">
        <v>1426</v>
      </c>
      <c r="E35" s="8" t="s">
        <v>309</v>
      </c>
      <c r="F35" s="8">
        <v>117579150051</v>
      </c>
      <c r="G35" s="7" t="str">
        <f t="shared" si="0"/>
        <v>117579150051@r6-1.deped.gov.ph</v>
      </c>
      <c r="H35" s="8" t="str">
        <f t="shared" si="1"/>
        <v>magbanua,311402</v>
      </c>
      <c r="I35" t="s">
        <v>14</v>
      </c>
    </row>
    <row r="36" spans="1:9" ht="12.75">
      <c r="A36" s="2">
        <v>33</v>
      </c>
      <c r="B36" s="7" t="s">
        <v>1413</v>
      </c>
      <c r="C36" s="7" t="s">
        <v>1427</v>
      </c>
      <c r="D36" s="7" t="s">
        <v>1428</v>
      </c>
      <c r="E36" s="8" t="s">
        <v>263</v>
      </c>
      <c r="F36" s="8">
        <v>117578120018</v>
      </c>
      <c r="G36" s="7" t="str">
        <f t="shared" si="0"/>
        <v>117578120018@r6-1.deped.gov.ph</v>
      </c>
      <c r="H36" s="8" t="str">
        <f t="shared" si="1"/>
        <v>panagsagon,311402</v>
      </c>
      <c r="I36" t="s">
        <v>14</v>
      </c>
    </row>
    <row r="37" spans="1:9" ht="12.75">
      <c r="A37" s="2">
        <v>34</v>
      </c>
      <c r="B37" s="7" t="s">
        <v>1413</v>
      </c>
      <c r="C37" s="7" t="s">
        <v>1385</v>
      </c>
      <c r="D37" s="7" t="s">
        <v>1429</v>
      </c>
      <c r="E37" s="8" t="s">
        <v>242</v>
      </c>
      <c r="F37" s="8">
        <v>117579150011</v>
      </c>
      <c r="G37" s="7" t="str">
        <f t="shared" si="0"/>
        <v>117579150011@r6-1.deped.gov.ph</v>
      </c>
      <c r="H37" s="8" t="str">
        <f t="shared" si="1"/>
        <v>roquero,311402</v>
      </c>
      <c r="I37" t="s">
        <v>14</v>
      </c>
    </row>
    <row r="38" spans="1:9" ht="12.75">
      <c r="A38" s="2">
        <v>35</v>
      </c>
      <c r="B38" s="7" t="s">
        <v>1413</v>
      </c>
      <c r="C38" s="7" t="s">
        <v>1430</v>
      </c>
      <c r="D38" s="7" t="s">
        <v>1275</v>
      </c>
      <c r="E38" s="8" t="s">
        <v>242</v>
      </c>
      <c r="F38" s="8">
        <v>117579150026</v>
      </c>
      <c r="G38" s="7" t="str">
        <f t="shared" si="0"/>
        <v>117579150026@r6-1.deped.gov.ph</v>
      </c>
      <c r="H38" s="8" t="str">
        <f t="shared" si="1"/>
        <v>selerio,311402</v>
      </c>
      <c r="I38" t="s">
        <v>14</v>
      </c>
    </row>
    <row r="39" spans="1:9" ht="12.75">
      <c r="A39" s="2">
        <v>36</v>
      </c>
      <c r="B39" s="7" t="s">
        <v>1413</v>
      </c>
      <c r="C39" s="7" t="s">
        <v>1431</v>
      </c>
      <c r="D39" s="7" t="s">
        <v>1432</v>
      </c>
      <c r="E39" s="8" t="s">
        <v>255</v>
      </c>
      <c r="F39" s="8">
        <v>117574140039</v>
      </c>
      <c r="G39" s="7" t="str">
        <f t="shared" si="0"/>
        <v>117574140039@r6-1.deped.gov.ph</v>
      </c>
      <c r="H39" s="8" t="str">
        <f t="shared" si="1"/>
        <v>serdevilla,311402</v>
      </c>
      <c r="I39" t="s">
        <v>14</v>
      </c>
    </row>
    <row r="40" spans="1:9" ht="12.75">
      <c r="A40" s="2">
        <v>37</v>
      </c>
      <c r="B40" s="7" t="s">
        <v>1413</v>
      </c>
      <c r="C40" s="7" t="s">
        <v>788</v>
      </c>
      <c r="D40" s="7" t="s">
        <v>1433</v>
      </c>
      <c r="E40" s="8" t="s">
        <v>263</v>
      </c>
      <c r="F40" s="8">
        <v>117579150036</v>
      </c>
      <c r="G40" s="7" t="str">
        <f t="shared" si="0"/>
        <v>117579150036@r6-1.deped.gov.ph</v>
      </c>
      <c r="H40" s="8" t="str">
        <f t="shared" si="1"/>
        <v>tayo,311402</v>
      </c>
      <c r="I40" t="s">
        <v>14</v>
      </c>
    </row>
    <row r="41" spans="1:9" ht="12.75">
      <c r="A41" s="2">
        <v>38</v>
      </c>
      <c r="B41" s="7" t="s">
        <v>1413</v>
      </c>
      <c r="C41" s="7" t="s">
        <v>1434</v>
      </c>
      <c r="D41" s="7" t="s">
        <v>1435</v>
      </c>
      <c r="E41" s="8" t="s">
        <v>294</v>
      </c>
      <c r="F41" s="8">
        <v>117579150045</v>
      </c>
      <c r="G41" s="7" t="str">
        <f t="shared" si="0"/>
        <v>117579150045@r6-1.deped.gov.ph</v>
      </c>
      <c r="H41" s="8" t="str">
        <f t="shared" si="1"/>
        <v>alcala,311402</v>
      </c>
      <c r="I41" t="s">
        <v>14</v>
      </c>
    </row>
    <row r="42" spans="1:9" ht="12.75">
      <c r="A42" s="2">
        <v>39</v>
      </c>
      <c r="B42" s="7" t="s">
        <v>1413</v>
      </c>
      <c r="C42" s="7" t="s">
        <v>1436</v>
      </c>
      <c r="D42" s="7" t="s">
        <v>1437</v>
      </c>
      <c r="E42" s="8" t="s">
        <v>231</v>
      </c>
      <c r="F42" s="8">
        <v>116050150011</v>
      </c>
      <c r="G42" s="7" t="str">
        <f t="shared" si="0"/>
        <v>116050150011@r6-1.deped.gov.ph</v>
      </c>
      <c r="H42" s="8" t="str">
        <f t="shared" si="1"/>
        <v>alicaya,311402</v>
      </c>
      <c r="I42" t="s">
        <v>14</v>
      </c>
    </row>
    <row r="43" spans="1:9" ht="12.75">
      <c r="A43" s="2">
        <v>40</v>
      </c>
      <c r="B43" s="7" t="s">
        <v>1413</v>
      </c>
      <c r="C43" s="7" t="s">
        <v>1438</v>
      </c>
      <c r="D43" s="7" t="s">
        <v>1439</v>
      </c>
      <c r="E43" s="8" t="s">
        <v>309</v>
      </c>
      <c r="F43" s="8">
        <v>117579150019</v>
      </c>
      <c r="G43" s="7" t="str">
        <f t="shared" si="0"/>
        <v>117579150019@r6-1.deped.gov.ph</v>
      </c>
      <c r="H43" s="8" t="str">
        <f t="shared" si="1"/>
        <v>baticbatic,311402</v>
      </c>
      <c r="I43" t="s">
        <v>14</v>
      </c>
    </row>
    <row r="44" spans="1:9" ht="12.75">
      <c r="A44" s="2">
        <v>41</v>
      </c>
      <c r="B44" s="7" t="s">
        <v>1413</v>
      </c>
      <c r="C44" s="7" t="s">
        <v>556</v>
      </c>
      <c r="D44" s="7" t="s">
        <v>746</v>
      </c>
      <c r="E44" s="8" t="s">
        <v>257</v>
      </c>
      <c r="F44" s="8">
        <v>117577150006</v>
      </c>
      <c r="G44" s="7" t="str">
        <f t="shared" si="0"/>
        <v>117577150006@r6-1.deped.gov.ph</v>
      </c>
      <c r="H44" s="8" t="str">
        <f t="shared" si="1"/>
        <v>canoy,311402</v>
      </c>
      <c r="I44" t="s">
        <v>14</v>
      </c>
    </row>
    <row r="45" spans="1:9" ht="12.75">
      <c r="A45" s="2">
        <v>42</v>
      </c>
      <c r="B45" s="7" t="s">
        <v>1413</v>
      </c>
      <c r="C45" s="7" t="s">
        <v>1440</v>
      </c>
      <c r="D45" s="7" t="s">
        <v>1441</v>
      </c>
      <c r="E45" s="8" t="s">
        <v>309</v>
      </c>
      <c r="F45" s="8">
        <v>117579150007</v>
      </c>
      <c r="G45" s="7" t="str">
        <f t="shared" si="0"/>
        <v>117579150007@r6-1.deped.gov.ph</v>
      </c>
      <c r="H45" s="8" t="str">
        <f t="shared" si="1"/>
        <v>castre,311402</v>
      </c>
      <c r="I45" t="s">
        <v>14</v>
      </c>
    </row>
    <row r="46" spans="1:9" ht="12.75">
      <c r="A46" s="2">
        <v>43</v>
      </c>
      <c r="B46" s="7" t="s">
        <v>1413</v>
      </c>
      <c r="C46" s="7" t="s">
        <v>1397</v>
      </c>
      <c r="D46" s="7" t="s">
        <v>1442</v>
      </c>
      <c r="E46" s="8" t="s">
        <v>268</v>
      </c>
      <c r="F46" s="8">
        <v>117579140055</v>
      </c>
      <c r="G46" s="7" t="str">
        <f t="shared" si="0"/>
        <v>117579140055@r6-1.deped.gov.ph</v>
      </c>
      <c r="H46" s="8" t="str">
        <f t="shared" si="1"/>
        <v>durilag,311402</v>
      </c>
      <c r="I46" t="s">
        <v>14</v>
      </c>
    </row>
    <row r="47" spans="1:9" ht="12.75">
      <c r="A47" s="2">
        <v>44</v>
      </c>
      <c r="B47" s="7" t="s">
        <v>1413</v>
      </c>
      <c r="C47" s="7" t="s">
        <v>1443</v>
      </c>
      <c r="D47" s="7" t="s">
        <v>1240</v>
      </c>
      <c r="E47" s="8" t="s">
        <v>444</v>
      </c>
      <c r="F47" s="8">
        <v>117577150009</v>
      </c>
      <c r="G47" s="7" t="str">
        <f t="shared" si="0"/>
        <v>117577150009@r6-1.deped.gov.ph</v>
      </c>
      <c r="H47" s="8" t="str">
        <f t="shared" si="1"/>
        <v>jaspe,311402</v>
      </c>
      <c r="I47" t="s">
        <v>14</v>
      </c>
    </row>
    <row r="48" spans="1:9" ht="12.75">
      <c r="A48" s="2">
        <v>45</v>
      </c>
      <c r="B48" s="7" t="s">
        <v>1413</v>
      </c>
      <c r="C48" s="7" t="s">
        <v>40</v>
      </c>
      <c r="D48" s="7" t="s">
        <v>1444</v>
      </c>
      <c r="E48" s="8" t="s">
        <v>294</v>
      </c>
      <c r="F48" s="8">
        <v>117579150048</v>
      </c>
      <c r="G48" s="7" t="str">
        <f t="shared" si="0"/>
        <v>117579150048@r6-1.deped.gov.ph</v>
      </c>
      <c r="H48" s="8" t="str">
        <f t="shared" si="1"/>
        <v>magbanua,311402</v>
      </c>
      <c r="I48" t="s">
        <v>14</v>
      </c>
    </row>
    <row r="49" spans="1:9" ht="12.75">
      <c r="A49" s="2">
        <v>46</v>
      </c>
      <c r="B49" s="7" t="s">
        <v>1413</v>
      </c>
      <c r="C49" s="7" t="s">
        <v>1445</v>
      </c>
      <c r="D49" s="7" t="s">
        <v>1446</v>
      </c>
      <c r="E49" s="8" t="s">
        <v>1399</v>
      </c>
      <c r="F49" s="8">
        <v>117579150044</v>
      </c>
      <c r="G49" s="7" t="str">
        <f t="shared" si="0"/>
        <v>117579150044@r6-1.deped.gov.ph</v>
      </c>
      <c r="H49" s="8" t="str">
        <f t="shared" si="1"/>
        <v>malihoc,311402</v>
      </c>
      <c r="I49" t="s">
        <v>14</v>
      </c>
    </row>
    <row r="50" spans="1:9" ht="12.75">
      <c r="A50" s="2">
        <v>47</v>
      </c>
      <c r="B50" s="7" t="s">
        <v>1413</v>
      </c>
      <c r="C50" s="7" t="s">
        <v>1447</v>
      </c>
      <c r="D50" s="7" t="s">
        <v>1448</v>
      </c>
      <c r="E50" s="8" t="s">
        <v>231</v>
      </c>
      <c r="F50" s="8">
        <v>117559140075</v>
      </c>
      <c r="G50" s="7" t="str">
        <f t="shared" si="0"/>
        <v>117559140075@r6-1.deped.gov.ph</v>
      </c>
      <c r="H50" s="8" t="str">
        <f t="shared" si="1"/>
        <v>nono,311402</v>
      </c>
      <c r="I50" t="s">
        <v>46</v>
      </c>
    </row>
    <row r="51" spans="1:9" ht="12.75">
      <c r="A51" s="2">
        <v>48</v>
      </c>
      <c r="B51" s="7" t="s">
        <v>1413</v>
      </c>
      <c r="C51" s="7" t="s">
        <v>1449</v>
      </c>
      <c r="D51" s="7" t="s">
        <v>1450</v>
      </c>
      <c r="E51" s="8" t="s">
        <v>268</v>
      </c>
      <c r="F51" s="8">
        <v>116762150034</v>
      </c>
      <c r="G51" s="7" t="str">
        <f t="shared" si="0"/>
        <v>116762150034@r6-1.deped.gov.ph</v>
      </c>
      <c r="H51" s="8" t="str">
        <f t="shared" si="1"/>
        <v>rocios,311402</v>
      </c>
      <c r="I51" t="s">
        <v>14</v>
      </c>
    </row>
    <row r="52" spans="1:9" ht="12.75">
      <c r="A52" s="2">
        <v>49</v>
      </c>
      <c r="B52" s="7" t="s">
        <v>1413</v>
      </c>
      <c r="C52" s="7" t="s">
        <v>1008</v>
      </c>
      <c r="D52" s="7" t="s">
        <v>1451</v>
      </c>
      <c r="E52" s="8" t="s">
        <v>252</v>
      </c>
      <c r="F52" s="8">
        <v>117577150012</v>
      </c>
      <c r="G52" s="7" t="str">
        <f t="shared" si="0"/>
        <v>117577150012@r6-1.deped.gov.ph</v>
      </c>
      <c r="H52" s="8" t="str">
        <f t="shared" si="1"/>
        <v>seballos,311402</v>
      </c>
      <c r="I52" t="s">
        <v>14</v>
      </c>
    </row>
    <row r="53" spans="1:9" ht="12.75">
      <c r="A53" s="2">
        <v>50</v>
      </c>
      <c r="B53" s="7"/>
      <c r="C53" s="7"/>
      <c r="D53" s="7"/>
      <c r="E53" s="8"/>
      <c r="F53" s="8"/>
      <c r="G53" s="7" t="str">
        <f t="shared" ref="G53:G307" si="2">IF(F53="","",F53&amp;"@r6-1.deped.gov.ph")</f>
        <v/>
      </c>
      <c r="H53" s="8"/>
    </row>
    <row r="54" spans="1:9" ht="12.75">
      <c r="A54" s="2">
        <v>51</v>
      </c>
      <c r="B54" s="7"/>
      <c r="C54" s="7"/>
      <c r="D54" s="7"/>
      <c r="E54" s="8"/>
      <c r="F54" s="8"/>
      <c r="G54" s="7" t="str">
        <f t="shared" si="2"/>
        <v/>
      </c>
      <c r="H54" s="8"/>
    </row>
    <row r="55" spans="1:9" ht="12.75">
      <c r="A55" s="2">
        <v>52</v>
      </c>
      <c r="B55" s="7"/>
      <c r="C55" s="7"/>
      <c r="D55" s="7"/>
      <c r="E55" s="8"/>
      <c r="F55" s="8"/>
      <c r="G55" s="7" t="str">
        <f t="shared" si="2"/>
        <v/>
      </c>
      <c r="H55" s="8"/>
    </row>
    <row r="56" spans="1:9" ht="12.75">
      <c r="A56" s="2">
        <v>53</v>
      </c>
      <c r="B56" s="7"/>
      <c r="C56" s="7"/>
      <c r="D56" s="7"/>
      <c r="E56" s="8"/>
      <c r="F56" s="8"/>
      <c r="G56" s="7" t="str">
        <f t="shared" si="2"/>
        <v/>
      </c>
      <c r="H56" s="8"/>
    </row>
    <row r="57" spans="1:9" ht="12.75">
      <c r="A57" s="2">
        <v>54</v>
      </c>
      <c r="B57" s="7"/>
      <c r="C57" s="7"/>
      <c r="D57" s="7"/>
      <c r="E57" s="8"/>
      <c r="F57" s="8"/>
      <c r="G57" s="7" t="str">
        <f t="shared" si="2"/>
        <v/>
      </c>
      <c r="H57" s="8"/>
    </row>
    <row r="58" spans="1:9" ht="12.75">
      <c r="A58" s="2">
        <v>55</v>
      </c>
      <c r="B58" s="7"/>
      <c r="C58" s="7"/>
      <c r="D58" s="7"/>
      <c r="E58" s="8"/>
      <c r="F58" s="8"/>
      <c r="G58" s="7" t="str">
        <f t="shared" si="2"/>
        <v/>
      </c>
      <c r="H58" s="8"/>
    </row>
    <row r="59" spans="1:9" ht="12.75">
      <c r="A59" s="2">
        <v>56</v>
      </c>
      <c r="B59" s="7"/>
      <c r="C59" s="7"/>
      <c r="D59" s="7"/>
      <c r="E59" s="8"/>
      <c r="F59" s="8"/>
      <c r="G59" s="7" t="str">
        <f t="shared" si="2"/>
        <v/>
      </c>
      <c r="H59" s="8"/>
    </row>
    <row r="60" spans="1:9" ht="12.75">
      <c r="A60" s="2">
        <v>57</v>
      </c>
      <c r="B60" s="7"/>
      <c r="C60" s="7"/>
      <c r="D60" s="7"/>
      <c r="E60" s="8"/>
      <c r="F60" s="8"/>
      <c r="G60" s="7" t="str">
        <f t="shared" si="2"/>
        <v/>
      </c>
      <c r="H60" s="8"/>
    </row>
    <row r="61" spans="1:9" ht="12.75">
      <c r="A61" s="2">
        <v>58</v>
      </c>
      <c r="B61" s="7"/>
      <c r="C61" s="7"/>
      <c r="D61" s="7"/>
      <c r="E61" s="8"/>
      <c r="F61" s="8"/>
      <c r="G61" s="7" t="str">
        <f t="shared" si="2"/>
        <v/>
      </c>
      <c r="H61" s="8"/>
    </row>
    <row r="62" spans="1:9" ht="12.75">
      <c r="A62" s="2">
        <v>59</v>
      </c>
      <c r="B62" s="7"/>
      <c r="C62" s="7"/>
      <c r="D62" s="7"/>
      <c r="E62" s="8"/>
      <c r="F62" s="8"/>
      <c r="G62" s="7" t="str">
        <f t="shared" si="2"/>
        <v/>
      </c>
      <c r="H62" s="8"/>
    </row>
    <row r="63" spans="1:9" ht="12.75">
      <c r="A63" s="2">
        <v>60</v>
      </c>
      <c r="B63" s="7"/>
      <c r="C63" s="7"/>
      <c r="D63" s="7"/>
      <c r="E63" s="8"/>
      <c r="F63" s="8"/>
      <c r="G63" s="7" t="str">
        <f t="shared" si="2"/>
        <v/>
      </c>
      <c r="H63" s="8"/>
    </row>
    <row r="64" spans="1:9" ht="12.75">
      <c r="A64" s="2">
        <v>61</v>
      </c>
      <c r="B64" s="7"/>
      <c r="C64" s="7"/>
      <c r="D64" s="7"/>
      <c r="E64" s="8"/>
      <c r="F64" s="8"/>
      <c r="G64" s="7" t="str">
        <f t="shared" si="2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2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2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2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2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2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2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2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2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2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2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2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2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2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2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2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2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2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2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2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2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2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2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2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2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2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2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2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2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2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2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2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2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2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2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2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2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2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2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2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2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2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2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2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2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2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2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2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2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2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2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2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2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2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2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2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2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2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2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2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2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2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2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2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2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2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2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2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2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2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2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2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2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2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2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2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2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2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2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2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2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2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2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2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2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2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2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2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2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2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2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2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2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2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2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2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2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2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2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2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2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2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2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2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2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2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2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2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2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2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2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2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2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2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2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2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2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2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2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2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2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2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2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2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2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2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2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2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2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2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2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2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2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2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2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2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2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2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2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2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2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2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2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2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2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2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2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2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2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2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2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2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2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2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2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2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2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2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2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2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2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2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2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2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2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2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2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2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2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2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2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2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2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2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2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2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2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2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2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2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2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2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2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2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2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2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2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2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2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2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2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2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2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2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2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2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2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2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2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2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2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2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2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2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2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2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2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2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2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2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2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2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2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2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2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2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2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2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2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2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2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2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2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2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2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2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2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2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2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2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2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2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2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2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2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2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2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2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2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2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2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2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2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2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ref="G308:G503" si="3">IF(F308="","",F308&amp;"@r6-1.deped.gov.ph")</f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3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3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3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3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3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3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3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3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3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3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3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3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3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3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3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3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3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3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3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3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3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3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3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3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3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3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3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3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3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3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3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3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3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3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3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3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3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3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3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3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3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3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3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3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3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3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3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3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3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3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3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3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3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3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3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3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3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3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3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3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3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3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3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3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3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3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3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3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3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3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3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3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3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3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3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3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3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3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3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3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3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3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3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3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3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3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3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3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3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3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3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3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3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3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3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3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3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3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3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3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3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3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3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3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3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3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3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3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3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3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3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3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3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3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3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3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3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3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3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3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3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3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3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3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3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3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3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3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3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3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3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3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3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3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3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3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3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3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3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3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3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3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3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3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3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3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3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3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3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3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3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3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3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3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3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3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3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3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3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3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3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3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3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3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3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3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3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3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3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3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3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3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3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3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3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3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3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3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3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3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3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3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3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3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3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3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3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3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3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3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3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3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3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3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3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02"/>
  <sheetViews>
    <sheetView workbookViewId="0">
      <pane ySplit="3" topLeftCell="A4" activePane="bottomLeft" state="frozen"/>
      <selection pane="bottomLeft" activeCell="C21" sqref="C21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1452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/>
      <c r="C4" s="7"/>
      <c r="D4" s="7"/>
      <c r="E4" s="8"/>
      <c r="F4" s="8"/>
      <c r="G4" s="7" t="str">
        <f t="shared" ref="G4:G258" si="0">IF(F4="","",F4&amp;"@r6-1.deped.gov.ph")</f>
        <v/>
      </c>
      <c r="H4" s="8"/>
    </row>
    <row r="5" spans="1:11" ht="12.75">
      <c r="A5" s="2">
        <v>2</v>
      </c>
      <c r="B5" s="7"/>
      <c r="C5" s="7"/>
      <c r="D5" s="7"/>
      <c r="E5" s="8"/>
      <c r="F5" s="8"/>
      <c r="G5" s="7" t="str">
        <f t="shared" si="0"/>
        <v/>
      </c>
      <c r="H5" s="8"/>
    </row>
    <row r="6" spans="1:11" ht="12.75">
      <c r="A6" s="2">
        <v>3</v>
      </c>
      <c r="B6" s="7"/>
      <c r="C6" s="7"/>
      <c r="D6" s="7"/>
      <c r="E6" s="8"/>
      <c r="F6" s="8"/>
      <c r="G6" s="7" t="str">
        <f t="shared" si="0"/>
        <v/>
      </c>
      <c r="H6" s="8"/>
    </row>
    <row r="7" spans="1:11" ht="12.75">
      <c r="A7" s="2">
        <v>4</v>
      </c>
      <c r="B7" s="7"/>
      <c r="C7" s="7"/>
      <c r="D7" s="7"/>
      <c r="E7" s="8"/>
      <c r="F7" s="8"/>
      <c r="G7" s="7" t="str">
        <f t="shared" si="0"/>
        <v/>
      </c>
      <c r="H7" s="8"/>
    </row>
    <row r="8" spans="1:11" ht="12.75">
      <c r="A8" s="2">
        <v>5</v>
      </c>
      <c r="B8" s="7"/>
      <c r="C8" s="7"/>
      <c r="D8" s="7"/>
      <c r="E8" s="8"/>
      <c r="F8" s="8"/>
      <c r="G8" s="7" t="str">
        <f t="shared" si="0"/>
        <v/>
      </c>
      <c r="H8" s="8"/>
    </row>
    <row r="9" spans="1:11" ht="12.75">
      <c r="A9" s="2">
        <v>6</v>
      </c>
      <c r="B9" s="7"/>
      <c r="C9" s="7"/>
      <c r="D9" s="7"/>
      <c r="E9" s="8"/>
      <c r="F9" s="8"/>
      <c r="G9" s="7" t="str">
        <f t="shared" si="0"/>
        <v/>
      </c>
      <c r="H9" s="8"/>
    </row>
    <row r="10" spans="1:11" ht="12.75">
      <c r="A10" s="2">
        <v>7</v>
      </c>
      <c r="B10" s="7"/>
      <c r="C10" s="7"/>
      <c r="D10" s="7"/>
      <c r="E10" s="8"/>
      <c r="F10" s="8"/>
      <c r="G10" s="7" t="str">
        <f t="shared" si="0"/>
        <v/>
      </c>
      <c r="H10" s="8"/>
    </row>
    <row r="11" spans="1:11" ht="12.75">
      <c r="A11" s="2">
        <v>8</v>
      </c>
      <c r="B11" s="7"/>
      <c r="C11" s="7"/>
      <c r="D11" s="7"/>
      <c r="E11" s="8"/>
      <c r="F11" s="8"/>
      <c r="G11" s="7" t="str">
        <f t="shared" si="0"/>
        <v/>
      </c>
      <c r="H11" s="8"/>
    </row>
    <row r="12" spans="1:11" ht="12.75">
      <c r="A12" s="2">
        <v>9</v>
      </c>
      <c r="B12" s="7"/>
      <c r="C12" s="7"/>
      <c r="D12" s="7"/>
      <c r="E12" s="8"/>
      <c r="F12" s="8"/>
      <c r="G12" s="7" t="str">
        <f t="shared" si="0"/>
        <v/>
      </c>
      <c r="H12" s="8"/>
    </row>
    <row r="13" spans="1:11" ht="12.75">
      <c r="A13" s="2">
        <v>10</v>
      </c>
      <c r="B13" s="7"/>
      <c r="C13" s="7"/>
      <c r="D13" s="7"/>
      <c r="E13" s="8"/>
      <c r="F13" s="8"/>
      <c r="G13" s="7" t="str">
        <f t="shared" si="0"/>
        <v/>
      </c>
      <c r="H13" s="8"/>
    </row>
    <row r="14" spans="1:11" ht="12.75">
      <c r="A14" s="2">
        <v>11</v>
      </c>
      <c r="B14" s="7"/>
      <c r="C14" s="7"/>
      <c r="D14" s="7"/>
      <c r="E14" s="8"/>
      <c r="F14" s="8"/>
      <c r="G14" s="7" t="str">
        <f t="shared" si="0"/>
        <v/>
      </c>
      <c r="H14" s="8"/>
    </row>
    <row r="15" spans="1:11" ht="12.75">
      <c r="A15" s="2">
        <v>12</v>
      </c>
      <c r="B15" s="7"/>
      <c r="C15" s="7"/>
      <c r="D15" s="7"/>
      <c r="E15" s="8"/>
      <c r="F15" s="8"/>
      <c r="G15" s="7" t="str">
        <f t="shared" si="0"/>
        <v/>
      </c>
      <c r="H15" s="8"/>
    </row>
    <row r="16" spans="1:11" ht="12.75">
      <c r="A16" s="2">
        <v>13</v>
      </c>
      <c r="B16" s="7"/>
      <c r="C16" s="7"/>
      <c r="D16" s="7"/>
      <c r="E16" s="8"/>
      <c r="F16" s="8"/>
      <c r="G16" s="7" t="str">
        <f t="shared" si="0"/>
        <v/>
      </c>
      <c r="H16" s="8"/>
    </row>
    <row r="17" spans="1:8" ht="12.75">
      <c r="A17" s="2">
        <v>14</v>
      </c>
      <c r="B17" s="7"/>
      <c r="C17" s="7"/>
      <c r="D17" s="7"/>
      <c r="E17" s="8"/>
      <c r="F17" s="8"/>
      <c r="G17" s="7" t="str">
        <f t="shared" si="0"/>
        <v/>
      </c>
      <c r="H17" s="8"/>
    </row>
    <row r="18" spans="1:8" ht="12.75">
      <c r="A18" s="2">
        <v>15</v>
      </c>
      <c r="B18" s="7"/>
      <c r="C18" s="7"/>
      <c r="D18" s="7"/>
      <c r="E18" s="8"/>
      <c r="F18" s="8"/>
      <c r="G18" s="7" t="str">
        <f t="shared" si="0"/>
        <v/>
      </c>
      <c r="H18" s="8"/>
    </row>
    <row r="19" spans="1:8" ht="12.75">
      <c r="A19" s="2">
        <v>16</v>
      </c>
      <c r="B19" s="7"/>
      <c r="C19" s="7"/>
      <c r="D19" s="7"/>
      <c r="E19" s="8"/>
      <c r="F19" s="8"/>
      <c r="G19" s="7" t="str">
        <f t="shared" si="0"/>
        <v/>
      </c>
      <c r="H19" s="8"/>
    </row>
    <row r="20" spans="1:8" ht="12.75">
      <c r="A20" s="2">
        <v>17</v>
      </c>
      <c r="B20" s="7"/>
      <c r="C20" s="7"/>
      <c r="D20" s="7"/>
      <c r="E20" s="8"/>
      <c r="F20" s="8"/>
      <c r="G20" s="7" t="str">
        <f t="shared" si="0"/>
        <v/>
      </c>
      <c r="H20" s="8"/>
    </row>
    <row r="21" spans="1:8" ht="12.75">
      <c r="A21" s="2">
        <v>18</v>
      </c>
      <c r="B21" s="7"/>
      <c r="C21" s="7"/>
      <c r="D21" s="7"/>
      <c r="E21" s="8"/>
      <c r="F21" s="8"/>
      <c r="G21" s="7" t="str">
        <f t="shared" si="0"/>
        <v/>
      </c>
      <c r="H21" s="8"/>
    </row>
    <row r="22" spans="1:8" ht="12.75">
      <c r="A22" s="2">
        <v>19</v>
      </c>
      <c r="B22" s="7"/>
      <c r="C22" s="7"/>
      <c r="D22" s="7"/>
      <c r="E22" s="8"/>
      <c r="F22" s="8"/>
      <c r="G22" s="7" t="str">
        <f t="shared" si="0"/>
        <v/>
      </c>
      <c r="H22" s="8"/>
    </row>
    <row r="23" spans="1:8" ht="12.75">
      <c r="A23" s="2">
        <v>20</v>
      </c>
      <c r="B23" s="7"/>
      <c r="C23" s="7"/>
      <c r="D23" s="7"/>
      <c r="E23" s="8"/>
      <c r="F23" s="8"/>
      <c r="G23" s="7" t="str">
        <f t="shared" si="0"/>
        <v/>
      </c>
      <c r="H23" s="8"/>
    </row>
    <row r="24" spans="1:8" ht="12.75">
      <c r="A24" s="2">
        <v>21</v>
      </c>
      <c r="B24" s="7"/>
      <c r="C24" s="7"/>
      <c r="D24" s="7"/>
      <c r="E24" s="8"/>
      <c r="F24" s="8"/>
      <c r="G24" s="7" t="str">
        <f t="shared" si="0"/>
        <v/>
      </c>
      <c r="H24" s="8"/>
    </row>
    <row r="25" spans="1:8" ht="12.75">
      <c r="A25" s="2">
        <v>22</v>
      </c>
      <c r="B25" s="7"/>
      <c r="C25" s="7"/>
      <c r="D25" s="7"/>
      <c r="E25" s="8"/>
      <c r="F25" s="8"/>
      <c r="G25" s="7" t="str">
        <f t="shared" si="0"/>
        <v/>
      </c>
      <c r="H25" s="8"/>
    </row>
    <row r="26" spans="1:8" ht="12.75">
      <c r="A26" s="2">
        <v>23</v>
      </c>
      <c r="B26" s="7"/>
      <c r="C26" s="7"/>
      <c r="D26" s="7"/>
      <c r="E26" s="8"/>
      <c r="F26" s="8"/>
      <c r="G26" s="7" t="str">
        <f t="shared" si="0"/>
        <v/>
      </c>
      <c r="H26" s="8"/>
    </row>
    <row r="27" spans="1:8" ht="12.75">
      <c r="A27" s="2">
        <v>24</v>
      </c>
      <c r="B27" s="7"/>
      <c r="C27" s="7"/>
      <c r="D27" s="7"/>
      <c r="E27" s="8"/>
      <c r="F27" s="8"/>
      <c r="G27" s="7" t="str">
        <f t="shared" si="0"/>
        <v/>
      </c>
      <c r="H27" s="8"/>
    </row>
    <row r="28" spans="1:8" ht="12.75">
      <c r="A28" s="2">
        <v>25</v>
      </c>
      <c r="B28" s="7"/>
      <c r="C28" s="7"/>
      <c r="D28" s="7"/>
      <c r="E28" s="8"/>
      <c r="F28" s="8"/>
      <c r="G28" s="7" t="str">
        <f t="shared" si="0"/>
        <v/>
      </c>
      <c r="H28" s="8"/>
    </row>
    <row r="29" spans="1:8" ht="12.75">
      <c r="A29" s="2">
        <v>26</v>
      </c>
      <c r="B29" s="7"/>
      <c r="C29" s="7"/>
      <c r="D29" s="7"/>
      <c r="E29" s="8"/>
      <c r="F29" s="8"/>
      <c r="G29" s="7" t="str">
        <f t="shared" si="0"/>
        <v/>
      </c>
      <c r="H29" s="8"/>
    </row>
    <row r="30" spans="1:8" ht="12.75">
      <c r="A30" s="2">
        <v>27</v>
      </c>
      <c r="B30" s="7"/>
      <c r="C30" s="7"/>
      <c r="D30" s="7"/>
      <c r="E30" s="8"/>
      <c r="F30" s="8"/>
      <c r="G30" s="7" t="str">
        <f t="shared" si="0"/>
        <v/>
      </c>
      <c r="H30" s="8"/>
    </row>
    <row r="31" spans="1:8" ht="12.75">
      <c r="A31" s="2">
        <v>28</v>
      </c>
      <c r="B31" s="7"/>
      <c r="C31" s="7"/>
      <c r="D31" s="7"/>
      <c r="E31" s="8"/>
      <c r="F31" s="8"/>
      <c r="G31" s="7" t="str">
        <f t="shared" si="0"/>
        <v/>
      </c>
      <c r="H31" s="8"/>
    </row>
    <row r="32" spans="1:8" ht="12.75">
      <c r="A32" s="2">
        <v>29</v>
      </c>
      <c r="B32" s="7"/>
      <c r="C32" s="7"/>
      <c r="D32" s="7"/>
      <c r="E32" s="8"/>
      <c r="F32" s="8"/>
      <c r="G32" s="7" t="str">
        <f t="shared" si="0"/>
        <v/>
      </c>
      <c r="H32" s="8"/>
    </row>
    <row r="33" spans="1:8" ht="12.75">
      <c r="A33" s="2">
        <v>30</v>
      </c>
      <c r="B33" s="7"/>
      <c r="C33" s="7"/>
      <c r="D33" s="7"/>
      <c r="E33" s="8"/>
      <c r="F33" s="8"/>
      <c r="G33" s="7" t="str">
        <f t="shared" si="0"/>
        <v/>
      </c>
      <c r="H33" s="8"/>
    </row>
    <row r="34" spans="1:8" ht="12.75">
      <c r="A34" s="2">
        <v>31</v>
      </c>
      <c r="B34" s="7"/>
      <c r="C34" s="7"/>
      <c r="D34" s="7"/>
      <c r="E34" s="8"/>
      <c r="F34" s="8"/>
      <c r="G34" s="7" t="str">
        <f t="shared" si="0"/>
        <v/>
      </c>
      <c r="H34" s="8"/>
    </row>
    <row r="35" spans="1:8" ht="12.75">
      <c r="A35" s="2">
        <v>32</v>
      </c>
      <c r="B35" s="7"/>
      <c r="C35" s="7"/>
      <c r="D35" s="7"/>
      <c r="E35" s="8"/>
      <c r="F35" s="8"/>
      <c r="G35" s="7" t="str">
        <f t="shared" si="0"/>
        <v/>
      </c>
      <c r="H35" s="8"/>
    </row>
    <row r="36" spans="1:8" ht="12.75">
      <c r="A36" s="2">
        <v>33</v>
      </c>
      <c r="B36" s="7"/>
      <c r="C36" s="7"/>
      <c r="D36" s="7"/>
      <c r="E36" s="8"/>
      <c r="F36" s="8"/>
      <c r="G36" s="7" t="str">
        <f t="shared" si="0"/>
        <v/>
      </c>
      <c r="H36" s="8"/>
    </row>
    <row r="37" spans="1:8" ht="12.75">
      <c r="A37" s="2">
        <v>34</v>
      </c>
      <c r="B37" s="7"/>
      <c r="C37" s="7"/>
      <c r="D37" s="7"/>
      <c r="E37" s="8"/>
      <c r="F37" s="8"/>
      <c r="G37" s="7" t="str">
        <f t="shared" si="0"/>
        <v/>
      </c>
      <c r="H37" s="8"/>
    </row>
    <row r="38" spans="1:8" ht="12.75">
      <c r="A38" s="2">
        <v>35</v>
      </c>
      <c r="B38" s="7"/>
      <c r="C38" s="7"/>
      <c r="D38" s="7"/>
      <c r="E38" s="8"/>
      <c r="F38" s="8"/>
      <c r="G38" s="7" t="str">
        <f t="shared" si="0"/>
        <v/>
      </c>
      <c r="H38" s="8"/>
    </row>
    <row r="39" spans="1:8" ht="12.75">
      <c r="A39" s="2">
        <v>36</v>
      </c>
      <c r="B39" s="7"/>
      <c r="C39" s="7"/>
      <c r="D39" s="7"/>
      <c r="E39" s="8"/>
      <c r="F39" s="8"/>
      <c r="G39" s="7" t="str">
        <f t="shared" si="0"/>
        <v/>
      </c>
      <c r="H39" s="8"/>
    </row>
    <row r="40" spans="1:8" ht="12.75">
      <c r="A40" s="2">
        <v>37</v>
      </c>
      <c r="B40" s="7"/>
      <c r="C40" s="7"/>
      <c r="D40" s="7"/>
      <c r="E40" s="8"/>
      <c r="F40" s="8"/>
      <c r="G40" s="7" t="str">
        <f t="shared" si="0"/>
        <v/>
      </c>
      <c r="H40" s="8"/>
    </row>
    <row r="41" spans="1:8" ht="12.75">
      <c r="A41" s="2">
        <v>38</v>
      </c>
      <c r="B41" s="7"/>
      <c r="C41" s="7"/>
      <c r="D41" s="7"/>
      <c r="E41" s="8"/>
      <c r="F41" s="8"/>
      <c r="G41" s="7" t="str">
        <f t="shared" si="0"/>
        <v/>
      </c>
      <c r="H41" s="8"/>
    </row>
    <row r="42" spans="1:8" ht="12.75">
      <c r="A42" s="2">
        <v>39</v>
      </c>
      <c r="B42" s="7"/>
      <c r="C42" s="7"/>
      <c r="D42" s="7"/>
      <c r="E42" s="8"/>
      <c r="F42" s="8"/>
      <c r="G42" s="7" t="str">
        <f t="shared" si="0"/>
        <v/>
      </c>
      <c r="H42" s="8"/>
    </row>
    <row r="43" spans="1:8" ht="12.75">
      <c r="A43" s="2">
        <v>40</v>
      </c>
      <c r="B43" s="7"/>
      <c r="C43" s="7"/>
      <c r="D43" s="7"/>
      <c r="E43" s="8"/>
      <c r="F43" s="8"/>
      <c r="G43" s="7" t="str">
        <f t="shared" si="0"/>
        <v/>
      </c>
      <c r="H43" s="8"/>
    </row>
    <row r="44" spans="1:8" ht="12.75">
      <c r="A44" s="2">
        <v>41</v>
      </c>
      <c r="B44" s="7"/>
      <c r="C44" s="7"/>
      <c r="D44" s="7"/>
      <c r="E44" s="8"/>
      <c r="F44" s="8"/>
      <c r="G44" s="7" t="str">
        <f t="shared" si="0"/>
        <v/>
      </c>
      <c r="H44" s="8"/>
    </row>
    <row r="45" spans="1:8" ht="12.75">
      <c r="A45" s="2">
        <v>42</v>
      </c>
      <c r="B45" s="7"/>
      <c r="C45" s="7"/>
      <c r="D45" s="7"/>
      <c r="E45" s="8"/>
      <c r="F45" s="8"/>
      <c r="G45" s="7" t="str">
        <f t="shared" si="0"/>
        <v/>
      </c>
      <c r="H45" s="8"/>
    </row>
    <row r="46" spans="1:8" ht="12.75">
      <c r="A46" s="2">
        <v>43</v>
      </c>
      <c r="B46" s="7"/>
      <c r="C46" s="7"/>
      <c r="D46" s="7"/>
      <c r="E46" s="8"/>
      <c r="F46" s="8"/>
      <c r="G46" s="7" t="str">
        <f t="shared" si="0"/>
        <v/>
      </c>
      <c r="H46" s="8"/>
    </row>
    <row r="47" spans="1:8" ht="12.75">
      <c r="A47" s="2">
        <v>44</v>
      </c>
      <c r="B47" s="7"/>
      <c r="C47" s="7"/>
      <c r="D47" s="7"/>
      <c r="E47" s="8"/>
      <c r="F47" s="8"/>
      <c r="G47" s="7" t="str">
        <f t="shared" si="0"/>
        <v/>
      </c>
      <c r="H47" s="8"/>
    </row>
    <row r="48" spans="1:8" ht="12.75">
      <c r="A48" s="2">
        <v>45</v>
      </c>
      <c r="B48" s="7"/>
      <c r="C48" s="7"/>
      <c r="D48" s="7"/>
      <c r="E48" s="8"/>
      <c r="F48" s="8"/>
      <c r="G48" s="7" t="str">
        <f t="shared" si="0"/>
        <v/>
      </c>
      <c r="H48" s="8"/>
    </row>
    <row r="49" spans="1:8" ht="12.75">
      <c r="A49" s="2">
        <v>46</v>
      </c>
      <c r="B49" s="7"/>
      <c r="C49" s="7"/>
      <c r="D49" s="7"/>
      <c r="E49" s="8"/>
      <c r="F49" s="8"/>
      <c r="G49" s="7" t="str">
        <f t="shared" si="0"/>
        <v/>
      </c>
      <c r="H49" s="8"/>
    </row>
    <row r="50" spans="1:8" ht="12.75">
      <c r="A50" s="2">
        <v>47</v>
      </c>
      <c r="B50" s="7"/>
      <c r="C50" s="7"/>
      <c r="D50" s="7"/>
      <c r="E50" s="8"/>
      <c r="F50" s="8"/>
      <c r="G50" s="7" t="str">
        <f t="shared" si="0"/>
        <v/>
      </c>
      <c r="H50" s="8"/>
    </row>
    <row r="51" spans="1:8" ht="12.75">
      <c r="A51" s="2">
        <v>48</v>
      </c>
      <c r="B51" s="7"/>
      <c r="C51" s="7"/>
      <c r="D51" s="7"/>
      <c r="E51" s="8"/>
      <c r="F51" s="8"/>
      <c r="G51" s="7" t="str">
        <f t="shared" si="0"/>
        <v/>
      </c>
      <c r="H51" s="8"/>
    </row>
    <row r="52" spans="1:8" ht="12.75">
      <c r="A52" s="2">
        <v>49</v>
      </c>
      <c r="B52" s="7"/>
      <c r="C52" s="7"/>
      <c r="D52" s="7"/>
      <c r="E52" s="8"/>
      <c r="F52" s="8"/>
      <c r="G52" s="7" t="str">
        <f t="shared" si="0"/>
        <v/>
      </c>
      <c r="H52" s="8"/>
    </row>
    <row r="53" spans="1:8" ht="12.75">
      <c r="A53" s="2">
        <v>50</v>
      </c>
      <c r="B53" s="7"/>
      <c r="C53" s="7"/>
      <c r="D53" s="7"/>
      <c r="E53" s="8"/>
      <c r="F53" s="8"/>
      <c r="G53" s="7" t="str">
        <f t="shared" si="0"/>
        <v/>
      </c>
      <c r="H53" s="8"/>
    </row>
    <row r="54" spans="1:8" ht="12.75">
      <c r="A54" s="2">
        <v>51</v>
      </c>
      <c r="B54" s="7"/>
      <c r="C54" s="7"/>
      <c r="D54" s="7"/>
      <c r="E54" s="8"/>
      <c r="F54" s="8"/>
      <c r="G54" s="7" t="str">
        <f t="shared" si="0"/>
        <v/>
      </c>
      <c r="H54" s="8"/>
    </row>
    <row r="55" spans="1:8" ht="12.75">
      <c r="A55" s="2">
        <v>52</v>
      </c>
      <c r="B55" s="7"/>
      <c r="C55" s="7"/>
      <c r="D55" s="7"/>
      <c r="E55" s="8"/>
      <c r="F55" s="8"/>
      <c r="G55" s="7" t="str">
        <f t="shared" si="0"/>
        <v/>
      </c>
      <c r="H55" s="8"/>
    </row>
    <row r="56" spans="1:8" ht="12.75">
      <c r="A56" s="2">
        <v>53</v>
      </c>
      <c r="B56" s="7"/>
      <c r="C56" s="7"/>
      <c r="D56" s="7"/>
      <c r="E56" s="8"/>
      <c r="F56" s="8"/>
      <c r="G56" s="7" t="str">
        <f t="shared" si="0"/>
        <v/>
      </c>
      <c r="H56" s="8"/>
    </row>
    <row r="57" spans="1:8" ht="12.75">
      <c r="A57" s="2">
        <v>54</v>
      </c>
      <c r="B57" s="7"/>
      <c r="C57" s="7"/>
      <c r="D57" s="7"/>
      <c r="E57" s="8"/>
      <c r="F57" s="8"/>
      <c r="G57" s="7" t="str">
        <f t="shared" si="0"/>
        <v/>
      </c>
      <c r="H57" s="8"/>
    </row>
    <row r="58" spans="1:8" ht="12.75">
      <c r="A58" s="2">
        <v>55</v>
      </c>
      <c r="B58" s="7"/>
      <c r="C58" s="7"/>
      <c r="D58" s="7"/>
      <c r="E58" s="8"/>
      <c r="F58" s="8"/>
      <c r="G58" s="7" t="str">
        <f t="shared" si="0"/>
        <v/>
      </c>
      <c r="H58" s="8"/>
    </row>
    <row r="59" spans="1:8" ht="12.75">
      <c r="A59" s="2">
        <v>56</v>
      </c>
      <c r="B59" s="7"/>
      <c r="C59" s="7"/>
      <c r="D59" s="7"/>
      <c r="E59" s="8"/>
      <c r="F59" s="8"/>
      <c r="G59" s="7" t="str">
        <f t="shared" si="0"/>
        <v/>
      </c>
      <c r="H59" s="8"/>
    </row>
    <row r="60" spans="1:8" ht="12.75">
      <c r="A60" s="2">
        <v>57</v>
      </c>
      <c r="B60" s="7"/>
      <c r="C60" s="7"/>
      <c r="D60" s="7"/>
      <c r="E60" s="8"/>
      <c r="F60" s="8"/>
      <c r="G60" s="7" t="str">
        <f t="shared" si="0"/>
        <v/>
      </c>
      <c r="H60" s="8"/>
    </row>
    <row r="61" spans="1:8" ht="12.75">
      <c r="A61" s="2">
        <v>58</v>
      </c>
      <c r="B61" s="7"/>
      <c r="C61" s="7"/>
      <c r="D61" s="7"/>
      <c r="E61" s="8"/>
      <c r="F61" s="8"/>
      <c r="G61" s="7" t="str">
        <f t="shared" si="0"/>
        <v/>
      </c>
      <c r="H61" s="8"/>
    </row>
    <row r="62" spans="1:8" ht="12.75">
      <c r="A62" s="2">
        <v>59</v>
      </c>
      <c r="B62" s="7"/>
      <c r="C62" s="7"/>
      <c r="D62" s="7"/>
      <c r="E62" s="8"/>
      <c r="F62" s="8"/>
      <c r="G62" s="7" t="str">
        <f t="shared" si="0"/>
        <v/>
      </c>
      <c r="H62" s="8"/>
    </row>
    <row r="63" spans="1:8" ht="12.75">
      <c r="A63" s="2">
        <v>60</v>
      </c>
      <c r="B63" s="7"/>
      <c r="C63" s="7"/>
      <c r="D63" s="7"/>
      <c r="E63" s="8"/>
      <c r="F63" s="8"/>
      <c r="G63" s="7" t="str">
        <f t="shared" si="0"/>
        <v/>
      </c>
      <c r="H63" s="8"/>
    </row>
    <row r="64" spans="1:8" ht="12.75">
      <c r="A64" s="2">
        <v>61</v>
      </c>
      <c r="B64" s="7"/>
      <c r="C64" s="7"/>
      <c r="D64" s="7"/>
      <c r="E64" s="8"/>
      <c r="F64" s="8"/>
      <c r="G64" s="7" t="str">
        <f t="shared" si="0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ref="G259:G503" si="1">IF(F259="","",F259&amp;"@r6-1.deped.gov.ph")</f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1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1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1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1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1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1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1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1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1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1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1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1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1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1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1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1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1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1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1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1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1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1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1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1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1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1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1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1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1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1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1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1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1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1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1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1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1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1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1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1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1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1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1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1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1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1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1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1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1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1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1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1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1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1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1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1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1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1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1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1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1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1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1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1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1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1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1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1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1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1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1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1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1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1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1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1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1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1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1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1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1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1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1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1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1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1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1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1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1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1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1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1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1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1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1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1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1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1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1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1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1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1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1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1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1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1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1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1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1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1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1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1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1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1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1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1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1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1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1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1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1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1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1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1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1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1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1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1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1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1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1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1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1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1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1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1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1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1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1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1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1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1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1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1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1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1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1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1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1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1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1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1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1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1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1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1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1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1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1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1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1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1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1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1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1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1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1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1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1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1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1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1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1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1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1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1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1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1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1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1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1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1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1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1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1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1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1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1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1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1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1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1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1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1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1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1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1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1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1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1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1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1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1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1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1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1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1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1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1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1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1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1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1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1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1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1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1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1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1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1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1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1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1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1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1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1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1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1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1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1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1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1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1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1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1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1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1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1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1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1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1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1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1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1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2"/>
  <sheetViews>
    <sheetView topLeftCell="G1" zoomScale="115" zoomScaleNormal="115" workbookViewId="0">
      <pane ySplit="3" topLeftCell="A70" activePane="bottomLeft" state="frozen"/>
      <selection pane="bottomLeft" activeCell="C100" sqref="C100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1453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1454</v>
      </c>
      <c r="C4" s="7" t="s">
        <v>1455</v>
      </c>
      <c r="D4" s="7" t="s">
        <v>1456</v>
      </c>
      <c r="E4" s="8" t="s">
        <v>231</v>
      </c>
      <c r="F4" s="8">
        <v>117561150002</v>
      </c>
      <c r="G4" s="7" t="str">
        <f t="shared" ref="G4:G258" si="0">IF(F4="","",F4&amp;"@r6-1.deped.gov.ph")</f>
        <v>117561150002@r6-1.deped.gov.ph</v>
      </c>
      <c r="H4" s="8" t="str">
        <f t="shared" ref="H4:H67" si="1">IF(C4="","",LOWER(C4)&amp;",311404")</f>
        <v>alobia,311404</v>
      </c>
      <c r="I4" t="s">
        <v>14</v>
      </c>
    </row>
    <row r="5" spans="1:11" ht="12.75">
      <c r="A5" s="2">
        <v>2</v>
      </c>
      <c r="B5" s="7" t="s">
        <v>1454</v>
      </c>
      <c r="C5" s="7" t="s">
        <v>1457</v>
      </c>
      <c r="D5" s="7" t="s">
        <v>1458</v>
      </c>
      <c r="E5" s="8" t="s">
        <v>252</v>
      </c>
      <c r="F5" s="8">
        <v>117562150130</v>
      </c>
      <c r="G5" s="7" t="str">
        <f t="shared" si="0"/>
        <v>117562150130@r6-1.deped.gov.ph</v>
      </c>
      <c r="H5" s="8" t="str">
        <f t="shared" si="1"/>
        <v>ba,311404</v>
      </c>
      <c r="I5" t="s">
        <v>14</v>
      </c>
    </row>
    <row r="6" spans="1:11" ht="12.75">
      <c r="A6" s="2">
        <v>3</v>
      </c>
      <c r="B6" s="7" t="s">
        <v>1454</v>
      </c>
      <c r="C6" s="7" t="s">
        <v>1304</v>
      </c>
      <c r="D6" s="7" t="s">
        <v>1459</v>
      </c>
      <c r="E6" s="8" t="s">
        <v>263</v>
      </c>
      <c r="F6" s="8">
        <v>117562150021</v>
      </c>
      <c r="G6" s="7" t="str">
        <f t="shared" si="0"/>
        <v>117562150021@r6-1.deped.gov.ph</v>
      </c>
      <c r="H6" s="8" t="str">
        <f t="shared" si="1"/>
        <v>dequiña,311404</v>
      </c>
      <c r="I6" t="s">
        <v>14</v>
      </c>
    </row>
    <row r="7" spans="1:11" ht="12.75">
      <c r="A7" s="2">
        <v>4</v>
      </c>
      <c r="B7" s="7" t="s">
        <v>1454</v>
      </c>
      <c r="C7" s="7" t="s">
        <v>1460</v>
      </c>
      <c r="D7" s="7" t="s">
        <v>1461</v>
      </c>
      <c r="E7" s="8" t="s">
        <v>263</v>
      </c>
      <c r="F7" s="8">
        <v>117562150066</v>
      </c>
      <c r="G7" s="7" t="str">
        <f t="shared" si="0"/>
        <v>117562150066@r6-1.deped.gov.ph</v>
      </c>
      <c r="H7" s="8" t="str">
        <f t="shared" si="1"/>
        <v>espejo,311404</v>
      </c>
      <c r="I7" t="s">
        <v>14</v>
      </c>
    </row>
    <row r="8" spans="1:11" ht="12.75">
      <c r="A8" s="2">
        <v>5</v>
      </c>
      <c r="B8" s="7" t="s">
        <v>1454</v>
      </c>
      <c r="C8" s="7" t="s">
        <v>1462</v>
      </c>
      <c r="D8" s="7" t="s">
        <v>1463</v>
      </c>
      <c r="E8" s="8" t="s">
        <v>231</v>
      </c>
      <c r="F8" s="8">
        <v>117562140061</v>
      </c>
      <c r="G8" s="7" t="str">
        <f t="shared" si="0"/>
        <v>117562140061@r6-1.deped.gov.ph</v>
      </c>
      <c r="H8" s="8" t="str">
        <f t="shared" si="1"/>
        <v>gabasa,311404</v>
      </c>
      <c r="I8" t="s">
        <v>14</v>
      </c>
    </row>
    <row r="9" spans="1:11" ht="12.75">
      <c r="A9" s="2">
        <v>6</v>
      </c>
      <c r="B9" s="7" t="s">
        <v>1454</v>
      </c>
      <c r="C9" s="7" t="s">
        <v>1464</v>
      </c>
      <c r="D9" s="7" t="s">
        <v>1465</v>
      </c>
      <c r="E9" s="8" t="s">
        <v>245</v>
      </c>
      <c r="F9" s="8">
        <v>117544150033</v>
      </c>
      <c r="G9" s="7" t="str">
        <f t="shared" si="0"/>
        <v>117544150033@r6-1.deped.gov.ph</v>
      </c>
      <c r="H9" s="8" t="str">
        <f t="shared" si="1"/>
        <v>guarino,311404</v>
      </c>
      <c r="I9" t="s">
        <v>14</v>
      </c>
    </row>
    <row r="10" spans="1:11" ht="12.75">
      <c r="A10" s="2">
        <v>7</v>
      </c>
      <c r="B10" s="7" t="s">
        <v>1454</v>
      </c>
      <c r="C10" s="7" t="s">
        <v>1466</v>
      </c>
      <c r="D10" s="7" t="s">
        <v>1467</v>
      </c>
      <c r="E10" s="8" t="s">
        <v>309</v>
      </c>
      <c r="F10" s="8">
        <v>117562160088</v>
      </c>
      <c r="G10" s="7" t="str">
        <f t="shared" si="0"/>
        <v>117562160088@r6-1.deped.gov.ph</v>
      </c>
      <c r="H10" s="8" t="str">
        <f t="shared" si="1"/>
        <v>lampago,311404</v>
      </c>
      <c r="I10" t="s">
        <v>14</v>
      </c>
    </row>
    <row r="11" spans="1:11" ht="12.75">
      <c r="A11" s="2">
        <v>8</v>
      </c>
      <c r="B11" s="7" t="s">
        <v>1454</v>
      </c>
      <c r="C11" s="7" t="s">
        <v>895</v>
      </c>
      <c r="D11" s="7" t="s">
        <v>1468</v>
      </c>
      <c r="E11" s="8" t="s">
        <v>252</v>
      </c>
      <c r="F11" s="8">
        <v>600174150301</v>
      </c>
      <c r="G11" s="7" t="str">
        <f t="shared" si="0"/>
        <v>600174150301@r6-1.deped.gov.ph</v>
      </c>
      <c r="H11" s="8" t="str">
        <f t="shared" si="1"/>
        <v>morales,311404</v>
      </c>
      <c r="I11" t="s">
        <v>14</v>
      </c>
    </row>
    <row r="12" spans="1:11" ht="12.75">
      <c r="A12" s="2">
        <v>9</v>
      </c>
      <c r="B12" s="7" t="s">
        <v>1454</v>
      </c>
      <c r="C12" s="7" t="s">
        <v>1469</v>
      </c>
      <c r="D12" s="7" t="s">
        <v>1470</v>
      </c>
      <c r="E12" s="8" t="s">
        <v>268</v>
      </c>
      <c r="F12" s="8">
        <v>117544150002</v>
      </c>
      <c r="G12" s="7" t="str">
        <f t="shared" si="0"/>
        <v>117544150002@r6-1.deped.gov.ph</v>
      </c>
      <c r="H12" s="8" t="str">
        <f t="shared" si="1"/>
        <v>piamonte,311404</v>
      </c>
      <c r="I12" t="s">
        <v>14</v>
      </c>
    </row>
    <row r="13" spans="1:11" ht="12.75">
      <c r="A13" s="2">
        <v>10</v>
      </c>
      <c r="B13" s="7" t="s">
        <v>1454</v>
      </c>
      <c r="C13" s="7" t="s">
        <v>153</v>
      </c>
      <c r="D13" s="7" t="s">
        <v>1471</v>
      </c>
      <c r="E13" s="8" t="s">
        <v>281</v>
      </c>
      <c r="F13" s="8">
        <v>117562150077</v>
      </c>
      <c r="G13" s="7" t="str">
        <f t="shared" si="0"/>
        <v>117562150077@r6-1.deped.gov.ph</v>
      </c>
      <c r="H13" s="8" t="str">
        <f t="shared" si="1"/>
        <v>romay,311404</v>
      </c>
      <c r="I13" t="s">
        <v>14</v>
      </c>
    </row>
    <row r="14" spans="1:11" ht="12.75">
      <c r="A14" s="2">
        <v>11</v>
      </c>
      <c r="B14" s="7" t="s">
        <v>1454</v>
      </c>
      <c r="C14" s="7" t="s">
        <v>1472</v>
      </c>
      <c r="D14" s="7" t="s">
        <v>1473</v>
      </c>
      <c r="E14" s="8" t="s">
        <v>231</v>
      </c>
      <c r="F14" s="8">
        <v>117546140235</v>
      </c>
      <c r="G14" s="7" t="str">
        <f t="shared" si="0"/>
        <v>117546140235@r6-1.deped.gov.ph</v>
      </c>
      <c r="H14" s="8" t="str">
        <f t="shared" si="1"/>
        <v>villacarlos,311404</v>
      </c>
      <c r="I14" t="s">
        <v>14</v>
      </c>
    </row>
    <row r="15" spans="1:11" ht="12.75">
      <c r="A15" s="2">
        <v>12</v>
      </c>
      <c r="B15" s="7" t="s">
        <v>1454</v>
      </c>
      <c r="C15" s="7" t="s">
        <v>1474</v>
      </c>
      <c r="D15" s="7" t="s">
        <v>1475</v>
      </c>
      <c r="E15" s="8" t="s">
        <v>252</v>
      </c>
      <c r="F15" s="8">
        <v>117562150070</v>
      </c>
      <c r="G15" s="7" t="str">
        <f t="shared" si="0"/>
        <v>117562150070@r6-1.deped.gov.ph</v>
      </c>
      <c r="H15" s="8" t="str">
        <f t="shared" si="1"/>
        <v>azotes,311404</v>
      </c>
      <c r="I15" t="s">
        <v>14</v>
      </c>
    </row>
    <row r="16" spans="1:11" ht="12.75">
      <c r="A16" s="2">
        <v>13</v>
      </c>
      <c r="B16" s="7" t="s">
        <v>1454</v>
      </c>
      <c r="C16" s="7" t="s">
        <v>1476</v>
      </c>
      <c r="D16" s="7" t="s">
        <v>1477</v>
      </c>
      <c r="E16" s="8" t="s">
        <v>231</v>
      </c>
      <c r="F16" s="8">
        <v>117561150097</v>
      </c>
      <c r="G16" s="7" t="str">
        <f t="shared" si="0"/>
        <v>117561150097@r6-1.deped.gov.ph</v>
      </c>
      <c r="H16" s="8" t="str">
        <f t="shared" si="1"/>
        <v>baduria,311404</v>
      </c>
      <c r="I16" t="s">
        <v>14</v>
      </c>
    </row>
    <row r="17" spans="1:9" ht="12.75">
      <c r="A17" s="2">
        <v>14</v>
      </c>
      <c r="B17" s="7" t="s">
        <v>1454</v>
      </c>
      <c r="C17" s="7" t="s">
        <v>1478</v>
      </c>
      <c r="D17" s="7" t="s">
        <v>1479</v>
      </c>
      <c r="E17" s="8" t="s">
        <v>281</v>
      </c>
      <c r="F17" s="8">
        <v>117562150083</v>
      </c>
      <c r="G17" s="7" t="str">
        <f t="shared" si="0"/>
        <v>117562150083@r6-1.deped.gov.ph</v>
      </c>
      <c r="H17" s="8" t="str">
        <f t="shared" si="1"/>
        <v>catalan,311404</v>
      </c>
      <c r="I17" t="s">
        <v>14</v>
      </c>
    </row>
    <row r="18" spans="1:9" ht="12.75">
      <c r="A18" s="2">
        <v>15</v>
      </c>
      <c r="B18" s="7" t="s">
        <v>1454</v>
      </c>
      <c r="C18" s="7" t="s">
        <v>1480</v>
      </c>
      <c r="D18" s="7" t="s">
        <v>1240</v>
      </c>
      <c r="E18" s="8" t="s">
        <v>252</v>
      </c>
      <c r="F18" s="8">
        <v>117139150057</v>
      </c>
      <c r="G18" s="7" t="str">
        <f t="shared" si="0"/>
        <v>117139150057@r6-1.deped.gov.ph</v>
      </c>
      <c r="H18" s="8" t="str">
        <f t="shared" si="1"/>
        <v>coronel,311404</v>
      </c>
      <c r="I18" t="s">
        <v>46</v>
      </c>
    </row>
    <row r="19" spans="1:9" ht="12.75">
      <c r="A19" s="2">
        <v>16</v>
      </c>
      <c r="B19" s="7" t="s">
        <v>1454</v>
      </c>
      <c r="C19" s="7" t="s">
        <v>328</v>
      </c>
      <c r="D19" s="7" t="s">
        <v>1481</v>
      </c>
      <c r="E19" s="8" t="s">
        <v>245</v>
      </c>
      <c r="F19" s="8">
        <v>117567150039</v>
      </c>
      <c r="G19" s="7" t="str">
        <f t="shared" si="0"/>
        <v>117567150039@r6-1.deped.gov.ph</v>
      </c>
      <c r="H19" s="8" t="str">
        <f t="shared" si="1"/>
        <v>dioso,311404</v>
      </c>
      <c r="I19" t="s">
        <v>46</v>
      </c>
    </row>
    <row r="20" spans="1:9" ht="12.75">
      <c r="A20" s="2">
        <v>17</v>
      </c>
      <c r="B20" s="7" t="s">
        <v>1454</v>
      </c>
      <c r="C20" s="7" t="s">
        <v>1482</v>
      </c>
      <c r="D20" s="7" t="s">
        <v>1483</v>
      </c>
      <c r="E20" s="8" t="s">
        <v>260</v>
      </c>
      <c r="F20" s="8">
        <v>117531140218</v>
      </c>
      <c r="G20" s="7" t="str">
        <f t="shared" si="0"/>
        <v>117531140218@r6-1.deped.gov.ph</v>
      </c>
      <c r="H20" s="8" t="str">
        <f t="shared" si="1"/>
        <v>honofre,311404</v>
      </c>
      <c r="I20" t="s">
        <v>14</v>
      </c>
    </row>
    <row r="21" spans="1:9" ht="12.75">
      <c r="A21" s="2">
        <v>18</v>
      </c>
      <c r="B21" s="7" t="s">
        <v>1454</v>
      </c>
      <c r="C21" s="7" t="s">
        <v>1484</v>
      </c>
      <c r="D21" s="7" t="s">
        <v>1485</v>
      </c>
      <c r="E21" s="8" t="s">
        <v>252</v>
      </c>
      <c r="F21" s="8">
        <v>404136150240</v>
      </c>
      <c r="G21" s="7" t="str">
        <f t="shared" si="0"/>
        <v>404136150240@r6-1.deped.gov.ph</v>
      </c>
      <c r="H21" s="8" t="str">
        <f t="shared" si="1"/>
        <v>king,311404</v>
      </c>
      <c r="I21" t="s">
        <v>14</v>
      </c>
    </row>
    <row r="22" spans="1:9" ht="12.75">
      <c r="A22" s="2">
        <v>19</v>
      </c>
      <c r="B22" s="7" t="s">
        <v>1454</v>
      </c>
      <c r="C22" s="7" t="s">
        <v>1486</v>
      </c>
      <c r="D22" s="7" t="s">
        <v>1487</v>
      </c>
      <c r="E22" s="8" t="s">
        <v>242</v>
      </c>
      <c r="F22" s="8">
        <v>117562150041</v>
      </c>
      <c r="G22" s="7" t="str">
        <f t="shared" si="0"/>
        <v>117562150041@r6-1.deped.gov.ph</v>
      </c>
      <c r="H22" s="8" t="str">
        <f t="shared" si="1"/>
        <v>maningo,311404</v>
      </c>
      <c r="I22" t="s">
        <v>14</v>
      </c>
    </row>
    <row r="23" spans="1:9" ht="12.75">
      <c r="A23" s="2">
        <v>20</v>
      </c>
      <c r="B23" s="7" t="s">
        <v>1454</v>
      </c>
      <c r="C23" s="7" t="s">
        <v>1488</v>
      </c>
      <c r="D23" s="7" t="s">
        <v>1489</v>
      </c>
      <c r="E23" s="8" t="s">
        <v>231</v>
      </c>
      <c r="F23" s="8">
        <v>117562150043</v>
      </c>
      <c r="G23" s="7" t="str">
        <f t="shared" si="0"/>
        <v>117562150043@r6-1.deped.gov.ph</v>
      </c>
      <c r="H23" s="8" t="str">
        <f t="shared" si="1"/>
        <v>martinez,311404</v>
      </c>
      <c r="I23" t="s">
        <v>14</v>
      </c>
    </row>
    <row r="24" spans="1:9" ht="12.75">
      <c r="A24" s="2">
        <v>21</v>
      </c>
      <c r="B24" s="7" t="s">
        <v>1454</v>
      </c>
      <c r="C24" s="7" t="s">
        <v>1490</v>
      </c>
      <c r="D24" s="7" t="s">
        <v>1491</v>
      </c>
      <c r="E24" s="8" t="s">
        <v>294</v>
      </c>
      <c r="F24" s="8">
        <v>117562130260</v>
      </c>
      <c r="G24" s="7" t="str">
        <f t="shared" si="0"/>
        <v>117562130260@r6-1.deped.gov.ph</v>
      </c>
      <c r="H24" s="8" t="str">
        <f t="shared" si="1"/>
        <v>mayono,311404</v>
      </c>
      <c r="I24" t="s">
        <v>14</v>
      </c>
    </row>
    <row r="25" spans="1:9" ht="12.75">
      <c r="A25" s="2">
        <v>22</v>
      </c>
      <c r="B25" s="7" t="s">
        <v>1454</v>
      </c>
      <c r="C25" s="7" t="s">
        <v>1492</v>
      </c>
      <c r="D25" s="7" t="s">
        <v>1493</v>
      </c>
      <c r="E25" s="8" t="s">
        <v>257</v>
      </c>
      <c r="F25" s="8">
        <v>117561150104</v>
      </c>
      <c r="G25" s="7" t="str">
        <f t="shared" si="0"/>
        <v>117561150104@r6-1.deped.gov.ph</v>
      </c>
      <c r="H25" s="8" t="str">
        <f t="shared" si="1"/>
        <v>ohyama,311404</v>
      </c>
      <c r="I25" t="s">
        <v>14</v>
      </c>
    </row>
    <row r="26" spans="1:9" ht="12.75">
      <c r="A26" s="2">
        <v>23</v>
      </c>
      <c r="B26" s="7" t="s">
        <v>1454</v>
      </c>
      <c r="C26" s="7" t="s">
        <v>1494</v>
      </c>
      <c r="D26" s="7" t="s">
        <v>1495</v>
      </c>
      <c r="E26" s="8" t="s">
        <v>231</v>
      </c>
      <c r="F26" s="8">
        <v>117562150071</v>
      </c>
      <c r="G26" s="7" t="str">
        <f t="shared" si="0"/>
        <v>117562150071@r6-1.deped.gov.ph</v>
      </c>
      <c r="H26" s="8" t="str">
        <f t="shared" si="1"/>
        <v>pabiana,311404</v>
      </c>
      <c r="I26" t="s">
        <v>14</v>
      </c>
    </row>
    <row r="27" spans="1:9" ht="12.75">
      <c r="A27" s="2">
        <v>24</v>
      </c>
      <c r="B27" s="7" t="s">
        <v>1454</v>
      </c>
      <c r="C27" s="7" t="s">
        <v>1496</v>
      </c>
      <c r="D27" s="7" t="s">
        <v>1497</v>
      </c>
      <c r="E27" s="8" t="s">
        <v>268</v>
      </c>
      <c r="F27" s="8">
        <v>117562150094</v>
      </c>
      <c r="G27" s="7" t="str">
        <f t="shared" si="0"/>
        <v>117562150094@r6-1.deped.gov.ph</v>
      </c>
      <c r="H27" s="8" t="str">
        <f t="shared" si="1"/>
        <v>provencion,311404</v>
      </c>
      <c r="I27" t="s">
        <v>14</v>
      </c>
    </row>
    <row r="28" spans="1:9" ht="12.75">
      <c r="A28" s="2">
        <v>25</v>
      </c>
      <c r="B28" s="7" t="s">
        <v>1454</v>
      </c>
      <c r="C28" s="7" t="s">
        <v>1498</v>
      </c>
      <c r="D28" s="7" t="s">
        <v>1499</v>
      </c>
      <c r="E28" s="8" t="s">
        <v>268</v>
      </c>
      <c r="F28" s="8">
        <v>117562160077</v>
      </c>
      <c r="G28" s="7" t="str">
        <f t="shared" si="0"/>
        <v>117562160077@r6-1.deped.gov.ph</v>
      </c>
      <c r="H28" s="8" t="str">
        <f t="shared" si="1"/>
        <v>sante,311404</v>
      </c>
      <c r="I28" t="s">
        <v>14</v>
      </c>
    </row>
    <row r="29" spans="1:9" ht="12.75">
      <c r="A29" s="2">
        <v>26</v>
      </c>
      <c r="B29" s="7" t="s">
        <v>1454</v>
      </c>
      <c r="C29" s="7" t="s">
        <v>1500</v>
      </c>
      <c r="D29" s="7" t="s">
        <v>1501</v>
      </c>
      <c r="E29" s="8" t="s">
        <v>257</v>
      </c>
      <c r="F29" s="8">
        <v>117562150161</v>
      </c>
      <c r="G29" s="7" t="str">
        <f t="shared" si="0"/>
        <v>117562150161@r6-1.deped.gov.ph</v>
      </c>
      <c r="H29" s="8" t="str">
        <f t="shared" si="1"/>
        <v>villarosa,311404</v>
      </c>
      <c r="I29" t="s">
        <v>14</v>
      </c>
    </row>
    <row r="30" spans="1:9" ht="12.75">
      <c r="A30" s="2">
        <v>27</v>
      </c>
      <c r="B30" s="7" t="s">
        <v>1454</v>
      </c>
      <c r="C30" s="7" t="s">
        <v>1500</v>
      </c>
      <c r="D30" s="7" t="s">
        <v>1502</v>
      </c>
      <c r="E30" s="8" t="s">
        <v>257</v>
      </c>
      <c r="F30" s="8">
        <v>117562150136</v>
      </c>
      <c r="G30" s="7" t="str">
        <f t="shared" si="0"/>
        <v>117562150136@r6-1.deped.gov.ph</v>
      </c>
      <c r="H30" s="8" t="str">
        <f t="shared" si="1"/>
        <v>villarosa,311404</v>
      </c>
      <c r="I30" t="s">
        <v>14</v>
      </c>
    </row>
    <row r="31" spans="1:9" ht="12.75">
      <c r="A31" s="2">
        <v>28</v>
      </c>
      <c r="B31" s="7" t="s">
        <v>1503</v>
      </c>
      <c r="C31" s="7" t="s">
        <v>657</v>
      </c>
      <c r="D31" s="7" t="s">
        <v>1504</v>
      </c>
      <c r="E31" s="8" t="s">
        <v>231</v>
      </c>
      <c r="F31" s="8">
        <v>117562150055</v>
      </c>
      <c r="G31" s="7" t="str">
        <f t="shared" si="0"/>
        <v>117562150055@r6-1.deped.gov.ph</v>
      </c>
      <c r="H31" s="8" t="str">
        <f t="shared" si="1"/>
        <v>barbon,311404</v>
      </c>
      <c r="I31" t="s">
        <v>14</v>
      </c>
    </row>
    <row r="32" spans="1:9" ht="12.75">
      <c r="A32" s="2">
        <v>29</v>
      </c>
      <c r="B32" s="7" t="s">
        <v>1503</v>
      </c>
      <c r="C32" s="7" t="s">
        <v>1505</v>
      </c>
      <c r="D32" s="7" t="s">
        <v>1506</v>
      </c>
      <c r="E32" s="8" t="s">
        <v>311</v>
      </c>
      <c r="F32" s="8">
        <v>117562150020</v>
      </c>
      <c r="G32" s="7" t="str">
        <f t="shared" si="0"/>
        <v>117562150020@r6-1.deped.gov.ph</v>
      </c>
      <c r="H32" s="8" t="str">
        <f t="shared" si="1"/>
        <v>bermudes,311404</v>
      </c>
      <c r="I32" t="s">
        <v>14</v>
      </c>
    </row>
    <row r="33" spans="1:9" ht="12.75">
      <c r="A33" s="2">
        <v>30</v>
      </c>
      <c r="B33" s="7" t="s">
        <v>1503</v>
      </c>
      <c r="C33" s="7" t="s">
        <v>1507</v>
      </c>
      <c r="D33" s="7" t="s">
        <v>1508</v>
      </c>
      <c r="E33" s="8" t="s">
        <v>252</v>
      </c>
      <c r="F33" s="8">
        <v>117565150002</v>
      </c>
      <c r="G33" s="7" t="str">
        <f t="shared" si="0"/>
        <v>117565150002@r6-1.deped.gov.ph</v>
      </c>
      <c r="H33" s="8" t="str">
        <f t="shared" si="1"/>
        <v>braza,311404</v>
      </c>
      <c r="I33" t="s">
        <v>14</v>
      </c>
    </row>
    <row r="34" spans="1:9" ht="12.75">
      <c r="A34" s="2">
        <v>31</v>
      </c>
      <c r="B34" s="7" t="s">
        <v>1503</v>
      </c>
      <c r="C34" s="7" t="s">
        <v>314</v>
      </c>
      <c r="D34" s="7" t="s">
        <v>1509</v>
      </c>
      <c r="E34" s="8" t="s">
        <v>294</v>
      </c>
      <c r="F34" s="8">
        <v>117570150006</v>
      </c>
      <c r="G34" s="7" t="str">
        <f t="shared" si="0"/>
        <v>117570150006@r6-1.deped.gov.ph</v>
      </c>
      <c r="H34" s="8" t="str">
        <f t="shared" si="1"/>
        <v>dela cruz,311404</v>
      </c>
      <c r="I34" t="s">
        <v>14</v>
      </c>
    </row>
    <row r="35" spans="1:9" ht="12.75">
      <c r="A35" s="2">
        <v>32</v>
      </c>
      <c r="B35" s="7" t="s">
        <v>1503</v>
      </c>
      <c r="C35" s="7" t="s">
        <v>1510</v>
      </c>
      <c r="D35" s="7" t="s">
        <v>370</v>
      </c>
      <c r="E35" s="8" t="s">
        <v>252</v>
      </c>
      <c r="F35" s="8">
        <v>117562160074</v>
      </c>
      <c r="G35" s="7" t="str">
        <f t="shared" si="0"/>
        <v>117562160074@r6-1.deped.gov.ph</v>
      </c>
      <c r="H35" s="8" t="str">
        <f t="shared" si="1"/>
        <v>detosil,311404</v>
      </c>
      <c r="I35" t="s">
        <v>14</v>
      </c>
    </row>
    <row r="36" spans="1:9" ht="12.75">
      <c r="A36" s="2">
        <v>33</v>
      </c>
      <c r="B36" s="7" t="s">
        <v>1503</v>
      </c>
      <c r="C36" s="7" t="s">
        <v>1511</v>
      </c>
      <c r="D36" s="7" t="s">
        <v>1512</v>
      </c>
      <c r="E36" s="8" t="s">
        <v>239</v>
      </c>
      <c r="F36" s="8">
        <v>117542140082</v>
      </c>
      <c r="G36" s="7" t="str">
        <f t="shared" si="0"/>
        <v>117542140082@r6-1.deped.gov.ph</v>
      </c>
      <c r="H36" s="8" t="str">
        <f t="shared" si="1"/>
        <v>escorial,311404</v>
      </c>
      <c r="I36" t="s">
        <v>14</v>
      </c>
    </row>
    <row r="37" spans="1:9" ht="12.75">
      <c r="A37" s="2">
        <v>34</v>
      </c>
      <c r="B37" s="7" t="s">
        <v>1503</v>
      </c>
      <c r="C37" s="7" t="s">
        <v>1513</v>
      </c>
      <c r="D37" s="7" t="s">
        <v>1514</v>
      </c>
      <c r="E37" s="8" t="s">
        <v>242</v>
      </c>
      <c r="F37" s="8">
        <v>506102100708</v>
      </c>
      <c r="G37" s="7" t="str">
        <f t="shared" si="0"/>
        <v>506102100708@r6-1.deped.gov.ph</v>
      </c>
      <c r="H37" s="8" t="str">
        <f t="shared" si="1"/>
        <v>moreno,311404</v>
      </c>
      <c r="I37" t="s">
        <v>14</v>
      </c>
    </row>
    <row r="38" spans="1:9" ht="12.75">
      <c r="A38" s="2">
        <v>35</v>
      </c>
      <c r="B38" s="7" t="s">
        <v>1503</v>
      </c>
      <c r="C38" s="7" t="s">
        <v>1515</v>
      </c>
      <c r="D38" s="7" t="s">
        <v>1516</v>
      </c>
      <c r="E38" s="8" t="s">
        <v>309</v>
      </c>
      <c r="F38" s="8">
        <v>117562150028</v>
      </c>
      <c r="G38" s="7" t="str">
        <f t="shared" si="0"/>
        <v>117562150028@r6-1.deped.gov.ph</v>
      </c>
      <c r="H38" s="8" t="str">
        <f t="shared" si="1"/>
        <v>osonero,311404</v>
      </c>
      <c r="I38" t="s">
        <v>14</v>
      </c>
    </row>
    <row r="39" spans="1:9" ht="12.75">
      <c r="A39" s="2">
        <v>36</v>
      </c>
      <c r="B39" s="7" t="s">
        <v>1503</v>
      </c>
      <c r="C39" s="7" t="s">
        <v>1496</v>
      </c>
      <c r="D39" s="7" t="s">
        <v>1517</v>
      </c>
      <c r="E39" s="8" t="s">
        <v>268</v>
      </c>
      <c r="F39" s="8">
        <v>117531140111</v>
      </c>
      <c r="G39" s="7" t="str">
        <f t="shared" si="0"/>
        <v>117531140111@r6-1.deped.gov.ph</v>
      </c>
      <c r="H39" s="8" t="str">
        <f t="shared" si="1"/>
        <v>provencion,311404</v>
      </c>
      <c r="I39" t="s">
        <v>14</v>
      </c>
    </row>
    <row r="40" spans="1:9" ht="12.75">
      <c r="A40" s="2">
        <v>37</v>
      </c>
      <c r="B40" s="7" t="s">
        <v>1503</v>
      </c>
      <c r="C40" s="7" t="s">
        <v>1518</v>
      </c>
      <c r="D40" s="7" t="s">
        <v>1519</v>
      </c>
      <c r="E40" s="8" t="s">
        <v>252</v>
      </c>
      <c r="F40" s="8">
        <v>117562160073</v>
      </c>
      <c r="G40" s="7" t="str">
        <f t="shared" si="0"/>
        <v>117562160073@r6-1.deped.gov.ph</v>
      </c>
      <c r="H40" s="8" t="str">
        <f t="shared" si="1"/>
        <v>punsalan,311404</v>
      </c>
      <c r="I40" t="s">
        <v>14</v>
      </c>
    </row>
    <row r="41" spans="1:9" ht="12.75">
      <c r="A41" s="2">
        <v>38</v>
      </c>
      <c r="B41" s="7" t="s">
        <v>1503</v>
      </c>
      <c r="C41" s="7" t="s">
        <v>1520</v>
      </c>
      <c r="D41" s="7" t="s">
        <v>1521</v>
      </c>
      <c r="E41" s="8" t="s">
        <v>263</v>
      </c>
      <c r="F41" s="8">
        <v>117562150032</v>
      </c>
      <c r="G41" s="7" t="str">
        <f t="shared" si="0"/>
        <v>117562150032@r6-1.deped.gov.ph</v>
      </c>
      <c r="H41" s="8" t="str">
        <f t="shared" si="1"/>
        <v>villamento,311404</v>
      </c>
      <c r="I41" t="s">
        <v>14</v>
      </c>
    </row>
    <row r="42" spans="1:9" ht="12.75">
      <c r="A42" s="2">
        <v>39</v>
      </c>
      <c r="B42" s="7" t="s">
        <v>1503</v>
      </c>
      <c r="C42" s="7" t="s">
        <v>1522</v>
      </c>
      <c r="D42" s="7" t="s">
        <v>1523</v>
      </c>
      <c r="E42" s="8" t="s">
        <v>234</v>
      </c>
      <c r="F42" s="8">
        <v>117546150200</v>
      </c>
      <c r="G42" s="7" t="str">
        <f t="shared" si="0"/>
        <v>117546150200@r6-1.deped.gov.ph</v>
      </c>
      <c r="H42" s="8" t="str">
        <f t="shared" si="1"/>
        <v>aque,311404</v>
      </c>
      <c r="I42" t="s">
        <v>14</v>
      </c>
    </row>
    <row r="43" spans="1:9" ht="12.75">
      <c r="A43" s="2">
        <v>40</v>
      </c>
      <c r="B43" s="7" t="s">
        <v>1503</v>
      </c>
      <c r="C43" s="7" t="s">
        <v>1524</v>
      </c>
      <c r="D43" s="7" t="s">
        <v>1525</v>
      </c>
      <c r="E43" s="8" t="s">
        <v>242</v>
      </c>
      <c r="F43" s="8">
        <v>117562150033</v>
      </c>
      <c r="G43" s="7" t="str">
        <f t="shared" si="0"/>
        <v>117562150033@r6-1.deped.gov.ph</v>
      </c>
      <c r="H43" s="8" t="str">
        <f t="shared" si="1"/>
        <v>bacan,311404</v>
      </c>
      <c r="I43" t="s">
        <v>14</v>
      </c>
    </row>
    <row r="44" spans="1:9" ht="12.75">
      <c r="A44" s="2">
        <v>41</v>
      </c>
      <c r="B44" s="7" t="s">
        <v>1503</v>
      </c>
      <c r="C44" s="7" t="s">
        <v>1526</v>
      </c>
      <c r="D44" s="7" t="s">
        <v>1527</v>
      </c>
      <c r="E44" s="8" t="s">
        <v>239</v>
      </c>
      <c r="F44" s="8">
        <v>117562160012</v>
      </c>
      <c r="G44" s="7" t="str">
        <f t="shared" si="0"/>
        <v>117562160012@r6-1.deped.gov.ph</v>
      </c>
      <c r="H44" s="8" t="str">
        <f t="shared" si="1"/>
        <v>badajos,311404</v>
      </c>
      <c r="I44" t="s">
        <v>14</v>
      </c>
    </row>
    <row r="45" spans="1:9" ht="12.75">
      <c r="A45" s="2">
        <v>42</v>
      </c>
      <c r="B45" s="7" t="s">
        <v>1503</v>
      </c>
      <c r="C45" s="7" t="s">
        <v>1528</v>
      </c>
      <c r="D45" s="7" t="s">
        <v>1529</v>
      </c>
      <c r="E45" s="8" t="s">
        <v>260</v>
      </c>
      <c r="F45" s="8">
        <v>117562140129</v>
      </c>
      <c r="G45" s="7" t="str">
        <f t="shared" si="0"/>
        <v>117562140129@r6-1.deped.gov.ph</v>
      </c>
      <c r="H45" s="8" t="str">
        <f t="shared" si="1"/>
        <v>bantiling,311404</v>
      </c>
      <c r="I45" t="s">
        <v>14</v>
      </c>
    </row>
    <row r="46" spans="1:9" ht="12.75">
      <c r="A46" s="2">
        <v>43</v>
      </c>
      <c r="B46" s="7" t="s">
        <v>1503</v>
      </c>
      <c r="C46" s="7" t="s">
        <v>1530</v>
      </c>
      <c r="D46" s="7" t="s">
        <v>1531</v>
      </c>
      <c r="E46" s="8" t="s">
        <v>245</v>
      </c>
      <c r="F46" s="8">
        <v>117562150146</v>
      </c>
      <c r="G46" s="7" t="str">
        <f t="shared" si="0"/>
        <v>117562150146@r6-1.deped.gov.ph</v>
      </c>
      <c r="H46" s="8" t="str">
        <f t="shared" si="1"/>
        <v>castro,311404</v>
      </c>
      <c r="I46" t="s">
        <v>46</v>
      </c>
    </row>
    <row r="47" spans="1:9" ht="12.75">
      <c r="A47" s="2">
        <v>44</v>
      </c>
      <c r="B47" s="7" t="s">
        <v>1503</v>
      </c>
      <c r="C47" s="7" t="s">
        <v>1532</v>
      </c>
      <c r="D47" s="7" t="s">
        <v>1533</v>
      </c>
      <c r="E47" s="8" t="s">
        <v>245</v>
      </c>
      <c r="F47" s="8">
        <v>117562150118</v>
      </c>
      <c r="G47" s="7" t="str">
        <f t="shared" si="0"/>
        <v>117562150118@r6-1.deped.gov.ph</v>
      </c>
      <c r="H47" s="8" t="str">
        <f t="shared" si="1"/>
        <v>costanilla,311404</v>
      </c>
      <c r="I47" t="s">
        <v>14</v>
      </c>
    </row>
    <row r="48" spans="1:9" ht="12.75">
      <c r="A48" s="2">
        <v>45</v>
      </c>
      <c r="B48" s="7" t="s">
        <v>1503</v>
      </c>
      <c r="C48" s="7" t="s">
        <v>1534</v>
      </c>
      <c r="D48" s="7" t="s">
        <v>746</v>
      </c>
      <c r="E48" s="8" t="s">
        <v>252</v>
      </c>
      <c r="F48" s="8">
        <v>117562150127</v>
      </c>
      <c r="G48" s="7" t="str">
        <f t="shared" si="0"/>
        <v>117562150127@r6-1.deped.gov.ph</v>
      </c>
      <c r="H48" s="8" t="str">
        <f t="shared" si="1"/>
        <v>desuyo,311404</v>
      </c>
      <c r="I48" t="s">
        <v>14</v>
      </c>
    </row>
    <row r="49" spans="1:9" ht="12.75">
      <c r="A49" s="2">
        <v>46</v>
      </c>
      <c r="B49" s="7" t="s">
        <v>1503</v>
      </c>
      <c r="C49" s="7" t="s">
        <v>611</v>
      </c>
      <c r="D49" s="7" t="s">
        <v>1303</v>
      </c>
      <c r="E49" s="8" t="s">
        <v>309</v>
      </c>
      <c r="F49" s="8">
        <v>117562140113</v>
      </c>
      <c r="G49" s="7" t="str">
        <f t="shared" si="0"/>
        <v>117562140113@r6-1.deped.gov.ph</v>
      </c>
      <c r="H49" s="8" t="str">
        <f t="shared" si="1"/>
        <v>francisco,311404</v>
      </c>
      <c r="I49" t="s">
        <v>14</v>
      </c>
    </row>
    <row r="50" spans="1:9" ht="12.75">
      <c r="A50" s="2">
        <v>47</v>
      </c>
      <c r="B50" s="7" t="s">
        <v>1503</v>
      </c>
      <c r="C50" s="7" t="s">
        <v>1535</v>
      </c>
      <c r="D50" s="7" t="s">
        <v>1240</v>
      </c>
      <c r="E50" s="8" t="s">
        <v>231</v>
      </c>
      <c r="F50" s="8">
        <v>117562150117</v>
      </c>
      <c r="G50" s="7" t="str">
        <f t="shared" si="0"/>
        <v>117562150117@r6-1.deped.gov.ph</v>
      </c>
      <c r="H50" s="8" t="str">
        <f t="shared" si="1"/>
        <v>macajas,311404</v>
      </c>
      <c r="I50" t="s">
        <v>14</v>
      </c>
    </row>
    <row r="51" spans="1:9" ht="12.75">
      <c r="A51" s="2">
        <v>48</v>
      </c>
      <c r="B51" s="7" t="s">
        <v>1503</v>
      </c>
      <c r="C51" s="7" t="s">
        <v>1536</v>
      </c>
      <c r="D51" s="7" t="s">
        <v>1537</v>
      </c>
      <c r="E51" s="8" t="s">
        <v>294</v>
      </c>
      <c r="F51" s="8">
        <v>117562150101</v>
      </c>
      <c r="G51" s="7" t="str">
        <f t="shared" si="0"/>
        <v>117562150101@r6-1.deped.gov.ph</v>
      </c>
      <c r="H51" s="8" t="str">
        <f t="shared" si="1"/>
        <v>menoza,311404</v>
      </c>
      <c r="I51" t="s">
        <v>14</v>
      </c>
    </row>
    <row r="52" spans="1:9" ht="12.75">
      <c r="A52" s="2">
        <v>49</v>
      </c>
      <c r="B52" s="7" t="s">
        <v>1503</v>
      </c>
      <c r="C52" s="7" t="s">
        <v>1538</v>
      </c>
      <c r="D52" s="7" t="s">
        <v>1539</v>
      </c>
      <c r="E52" s="8" t="s">
        <v>281</v>
      </c>
      <c r="F52" s="8">
        <v>117546150229</v>
      </c>
      <c r="G52" s="7" t="str">
        <f t="shared" si="0"/>
        <v>117546150229@r6-1.deped.gov.ph</v>
      </c>
      <c r="H52" s="8" t="str">
        <f t="shared" si="1"/>
        <v>nunez,311404</v>
      </c>
      <c r="I52" t="s">
        <v>14</v>
      </c>
    </row>
    <row r="53" spans="1:9" ht="12.75">
      <c r="A53" s="2">
        <v>50</v>
      </c>
      <c r="B53" s="7" t="s">
        <v>1503</v>
      </c>
      <c r="C53" s="7" t="s">
        <v>1540</v>
      </c>
      <c r="D53" s="7" t="s">
        <v>645</v>
      </c>
      <c r="E53" s="8" t="s">
        <v>263</v>
      </c>
      <c r="F53" s="8">
        <v>117531150137</v>
      </c>
      <c r="G53" s="7" t="str">
        <f t="shared" si="0"/>
        <v>117531150137@r6-1.deped.gov.ph</v>
      </c>
      <c r="H53" s="8" t="str">
        <f t="shared" si="1"/>
        <v>pabion,311404</v>
      </c>
      <c r="I53" t="s">
        <v>14</v>
      </c>
    </row>
    <row r="54" spans="1:9" ht="12.75">
      <c r="A54" s="2">
        <v>51</v>
      </c>
      <c r="B54" s="7" t="s">
        <v>1503</v>
      </c>
      <c r="C54" s="7" t="s">
        <v>1541</v>
      </c>
      <c r="D54" s="7" t="s">
        <v>1542</v>
      </c>
      <c r="E54" s="8" t="s">
        <v>294</v>
      </c>
      <c r="F54" s="8">
        <v>117546150206</v>
      </c>
      <c r="G54" s="7" t="str">
        <f t="shared" si="0"/>
        <v>117546150206@r6-1.deped.gov.ph</v>
      </c>
      <c r="H54" s="8" t="str">
        <f t="shared" si="1"/>
        <v>pardenas,311404</v>
      </c>
      <c r="I54" t="s">
        <v>14</v>
      </c>
    </row>
    <row r="55" spans="1:9" ht="12.75">
      <c r="A55" s="2">
        <v>52</v>
      </c>
      <c r="B55" s="7" t="s">
        <v>1503</v>
      </c>
      <c r="C55" s="7" t="s">
        <v>1543</v>
      </c>
      <c r="D55" s="7" t="s">
        <v>1544</v>
      </c>
      <c r="E55" s="8" t="s">
        <v>231</v>
      </c>
      <c r="F55" s="8">
        <v>117562150046</v>
      </c>
      <c r="G55" s="7" t="str">
        <f t="shared" si="0"/>
        <v>117562150046@r6-1.deped.gov.ph</v>
      </c>
      <c r="H55" s="8" t="str">
        <f t="shared" si="1"/>
        <v>pasar,311404</v>
      </c>
      <c r="I55" t="s">
        <v>14</v>
      </c>
    </row>
    <row r="56" spans="1:9" ht="12.75">
      <c r="A56" s="2">
        <v>53</v>
      </c>
      <c r="B56" s="7" t="s">
        <v>1503</v>
      </c>
      <c r="C56" s="7" t="s">
        <v>1545</v>
      </c>
      <c r="D56" s="7" t="s">
        <v>1546</v>
      </c>
      <c r="E56" s="8" t="s">
        <v>263</v>
      </c>
      <c r="F56" s="8">
        <v>117561150202</v>
      </c>
      <c r="G56" s="7" t="str">
        <f t="shared" si="0"/>
        <v>117561150202@r6-1.deped.gov.ph</v>
      </c>
      <c r="H56" s="8" t="str">
        <f t="shared" si="1"/>
        <v>pastutiyo,311404</v>
      </c>
      <c r="I56" t="s">
        <v>14</v>
      </c>
    </row>
    <row r="57" spans="1:9" ht="12.75">
      <c r="A57" s="2">
        <v>54</v>
      </c>
      <c r="B57" s="7" t="s">
        <v>1503</v>
      </c>
      <c r="C57" s="7" t="s">
        <v>1547</v>
      </c>
      <c r="D57" s="7" t="s">
        <v>1548</v>
      </c>
      <c r="E57" s="8" t="s">
        <v>268</v>
      </c>
      <c r="F57" s="8">
        <v>118361150005</v>
      </c>
      <c r="G57" s="7" t="str">
        <f t="shared" si="0"/>
        <v>118361150005@r6-1.deped.gov.ph</v>
      </c>
      <c r="H57" s="8" t="str">
        <f t="shared" si="1"/>
        <v>serrano,311404</v>
      </c>
      <c r="I57" t="s">
        <v>14</v>
      </c>
    </row>
    <row r="58" spans="1:9" ht="12.75">
      <c r="A58" s="2">
        <v>55</v>
      </c>
      <c r="B58" s="7" t="s">
        <v>1503</v>
      </c>
      <c r="C58" s="7" t="s">
        <v>1549</v>
      </c>
      <c r="D58" s="7" t="s">
        <v>1550</v>
      </c>
      <c r="E58" s="8" t="s">
        <v>268</v>
      </c>
      <c r="F58" s="8">
        <v>117546150108</v>
      </c>
      <c r="G58" s="7" t="str">
        <f t="shared" si="0"/>
        <v>117546150108@r6-1.deped.gov.ph</v>
      </c>
      <c r="H58" s="8" t="str">
        <f t="shared" si="1"/>
        <v>soldevilla,311404</v>
      </c>
      <c r="I58" t="s">
        <v>14</v>
      </c>
    </row>
    <row r="59" spans="1:9" ht="12.75">
      <c r="A59" s="2">
        <v>56</v>
      </c>
      <c r="B59" s="7" t="s">
        <v>1551</v>
      </c>
      <c r="C59" s="7" t="s">
        <v>1552</v>
      </c>
      <c r="D59" s="7" t="s">
        <v>1553</v>
      </c>
      <c r="E59" s="8" t="s">
        <v>242</v>
      </c>
      <c r="F59" s="8">
        <v>117568140013</v>
      </c>
      <c r="G59" s="7" t="str">
        <f t="shared" si="0"/>
        <v>117568140013@r6-1.deped.gov.ph</v>
      </c>
      <c r="H59" s="8" t="str">
        <f t="shared" si="1"/>
        <v>dagandan,311404</v>
      </c>
      <c r="I59" t="s">
        <v>14</v>
      </c>
    </row>
    <row r="60" spans="1:9" ht="12.75">
      <c r="A60" s="2">
        <v>57</v>
      </c>
      <c r="B60" s="7" t="s">
        <v>1551</v>
      </c>
      <c r="C60" s="7" t="s">
        <v>1554</v>
      </c>
      <c r="D60" s="7" t="s">
        <v>1555</v>
      </c>
      <c r="E60" s="8" t="s">
        <v>242</v>
      </c>
      <c r="F60" s="8">
        <v>117718150009</v>
      </c>
      <c r="G60" s="7" t="str">
        <f t="shared" si="0"/>
        <v>117718150009@r6-1.deped.gov.ph</v>
      </c>
      <c r="H60" s="8" t="str">
        <f t="shared" si="1"/>
        <v>delcoro,311404</v>
      </c>
      <c r="I60" t="s">
        <v>14</v>
      </c>
    </row>
    <row r="61" spans="1:9" ht="12.75">
      <c r="A61" s="2">
        <v>58</v>
      </c>
      <c r="B61" s="7" t="s">
        <v>1551</v>
      </c>
      <c r="C61" s="7" t="s">
        <v>1534</v>
      </c>
      <c r="D61" s="7" t="s">
        <v>640</v>
      </c>
      <c r="E61" s="8" t="s">
        <v>252</v>
      </c>
      <c r="F61" s="8">
        <v>117479140677</v>
      </c>
      <c r="G61" s="7" t="str">
        <f t="shared" si="0"/>
        <v>117479140677@r6-1.deped.gov.ph</v>
      </c>
      <c r="H61" s="8" t="str">
        <f t="shared" si="1"/>
        <v>desuyo,311404</v>
      </c>
      <c r="I61" t="s">
        <v>46</v>
      </c>
    </row>
    <row r="62" spans="1:9" ht="12.75">
      <c r="A62" s="2">
        <v>59</v>
      </c>
      <c r="B62" s="7" t="s">
        <v>1551</v>
      </c>
      <c r="C62" s="7" t="s">
        <v>1556</v>
      </c>
      <c r="D62" s="7" t="s">
        <v>1557</v>
      </c>
      <c r="E62" s="8" t="s">
        <v>361</v>
      </c>
      <c r="F62" s="8">
        <v>1175541500069</v>
      </c>
      <c r="G62" s="7" t="str">
        <f t="shared" si="0"/>
        <v>1175541500069@r6-1.deped.gov.ph</v>
      </c>
      <c r="H62" s="8" t="str">
        <f t="shared" si="1"/>
        <v>gabihan,311404</v>
      </c>
      <c r="I62" t="s">
        <v>46</v>
      </c>
    </row>
    <row r="63" spans="1:9" ht="12.75">
      <c r="A63" s="2">
        <v>60</v>
      </c>
      <c r="B63" s="7" t="s">
        <v>1551</v>
      </c>
      <c r="C63" s="7" t="s">
        <v>1558</v>
      </c>
      <c r="D63" s="7" t="s">
        <v>1559</v>
      </c>
      <c r="E63" s="8" t="s">
        <v>294</v>
      </c>
      <c r="F63" s="8">
        <v>117572140258</v>
      </c>
      <c r="G63" s="7" t="str">
        <f t="shared" si="0"/>
        <v>117572140258@r6-1.deped.gov.ph</v>
      </c>
      <c r="H63" s="8" t="str">
        <f t="shared" si="1"/>
        <v>intico,311404</v>
      </c>
      <c r="I63" t="s">
        <v>14</v>
      </c>
    </row>
    <row r="64" spans="1:9" ht="12.75">
      <c r="A64" s="2">
        <v>61</v>
      </c>
      <c r="B64" s="7" t="s">
        <v>1551</v>
      </c>
      <c r="C64" s="7" t="s">
        <v>1560</v>
      </c>
      <c r="D64" s="7" t="s">
        <v>1561</v>
      </c>
      <c r="E64" s="8" t="s">
        <v>252</v>
      </c>
      <c r="F64" s="8">
        <v>117562150061</v>
      </c>
      <c r="G64" s="7" t="str">
        <f t="shared" si="0"/>
        <v>117562150061@r6-1.deped.gov.ph</v>
      </c>
      <c r="H64" s="8" t="str">
        <f t="shared" si="1"/>
        <v>oniot,311404</v>
      </c>
      <c r="I64" t="s">
        <v>14</v>
      </c>
    </row>
    <row r="65" spans="1:9" ht="12.75">
      <c r="A65" s="2">
        <v>62</v>
      </c>
      <c r="B65" s="7" t="s">
        <v>1551</v>
      </c>
      <c r="C65" s="7" t="s">
        <v>1562</v>
      </c>
      <c r="D65" s="7" t="s">
        <v>1563</v>
      </c>
      <c r="E65" s="8" t="s">
        <v>294</v>
      </c>
      <c r="F65" s="8">
        <v>117562150113</v>
      </c>
      <c r="G65" s="7" t="str">
        <f t="shared" si="0"/>
        <v>117562150113@r6-1.deped.gov.ph</v>
      </c>
      <c r="H65" s="8" t="str">
        <f t="shared" si="1"/>
        <v>ortizano,311404</v>
      </c>
      <c r="I65" t="s">
        <v>14</v>
      </c>
    </row>
    <row r="66" spans="1:9" ht="12.75">
      <c r="A66" s="2">
        <v>63</v>
      </c>
      <c r="B66" s="7" t="s">
        <v>1551</v>
      </c>
      <c r="C66" s="7" t="s">
        <v>349</v>
      </c>
      <c r="D66" s="7" t="s">
        <v>1564</v>
      </c>
      <c r="E66" s="8" t="s">
        <v>294</v>
      </c>
      <c r="F66" s="8">
        <v>117544150073</v>
      </c>
      <c r="G66" s="7" t="str">
        <f t="shared" si="0"/>
        <v>117544150073@r6-1.deped.gov.ph</v>
      </c>
      <c r="H66" s="8" t="str">
        <f t="shared" si="1"/>
        <v>santillan,311404</v>
      </c>
      <c r="I66" t="s">
        <v>14</v>
      </c>
    </row>
    <row r="67" spans="1:9" ht="12.75">
      <c r="A67" s="2">
        <v>64</v>
      </c>
      <c r="B67" s="7" t="s">
        <v>1551</v>
      </c>
      <c r="C67" s="7" t="s">
        <v>1565</v>
      </c>
      <c r="D67" s="7" t="s">
        <v>1566</v>
      </c>
      <c r="E67" s="8" t="s">
        <v>245</v>
      </c>
      <c r="F67" s="8">
        <v>117536150017</v>
      </c>
      <c r="G67" s="7" t="str">
        <f t="shared" si="0"/>
        <v>117536150017@r6-1.deped.gov.ph</v>
      </c>
      <c r="H67" s="8" t="str">
        <f t="shared" si="1"/>
        <v>seares,311404</v>
      </c>
      <c r="I67" t="s">
        <v>14</v>
      </c>
    </row>
    <row r="68" spans="1:9" ht="12.75">
      <c r="A68" s="2">
        <v>65</v>
      </c>
      <c r="B68" s="7" t="s">
        <v>1551</v>
      </c>
      <c r="C68" s="7" t="s">
        <v>1567</v>
      </c>
      <c r="D68" s="7" t="s">
        <v>1568</v>
      </c>
      <c r="E68" s="8" t="s">
        <v>263</v>
      </c>
      <c r="F68" s="8">
        <v>117531120068</v>
      </c>
      <c r="G68" s="7" t="str">
        <f t="shared" si="0"/>
        <v>117531120068@r6-1.deped.gov.ph</v>
      </c>
      <c r="H68" s="8" t="str">
        <f t="shared" ref="H68:H83" si="2">IF(C68="","",LOWER(C68)&amp;",311404")</f>
        <v>zamora,311404</v>
      </c>
      <c r="I68" t="s">
        <v>14</v>
      </c>
    </row>
    <row r="69" spans="1:9" ht="12.75">
      <c r="A69" s="2">
        <v>66</v>
      </c>
      <c r="B69" s="7" t="s">
        <v>1551</v>
      </c>
      <c r="C69" s="7" t="s">
        <v>1569</v>
      </c>
      <c r="D69" s="7" t="s">
        <v>1570</v>
      </c>
      <c r="E69" s="8" t="s">
        <v>739</v>
      </c>
      <c r="F69" s="8">
        <v>115204150011</v>
      </c>
      <c r="G69" s="7" t="str">
        <f t="shared" si="0"/>
        <v>115204150011@r6-1.deped.gov.ph</v>
      </c>
      <c r="H69" s="8" t="str">
        <f t="shared" si="2"/>
        <v>apostol,311404</v>
      </c>
      <c r="I69" t="s">
        <v>14</v>
      </c>
    </row>
    <row r="70" spans="1:9" ht="12.75">
      <c r="A70" s="2">
        <v>67</v>
      </c>
      <c r="B70" s="7" t="s">
        <v>1551</v>
      </c>
      <c r="C70" s="7" t="s">
        <v>1571</v>
      </c>
      <c r="D70" s="7" t="s">
        <v>1572</v>
      </c>
      <c r="E70" s="8" t="s">
        <v>239</v>
      </c>
      <c r="F70" s="8">
        <v>117572140070</v>
      </c>
      <c r="G70" s="7" t="str">
        <f t="shared" si="0"/>
        <v>117572140070@r6-1.deped.gov.ph</v>
      </c>
      <c r="H70" s="8" t="str">
        <f t="shared" si="2"/>
        <v>biuya,311404</v>
      </c>
      <c r="I70" t="s">
        <v>14</v>
      </c>
    </row>
    <row r="71" spans="1:9" ht="12.75">
      <c r="A71" s="2">
        <v>68</v>
      </c>
      <c r="B71" s="7" t="s">
        <v>1551</v>
      </c>
      <c r="C71" s="7" t="s">
        <v>1573</v>
      </c>
      <c r="D71" s="7" t="s">
        <v>88</v>
      </c>
      <c r="E71" s="8" t="s">
        <v>245</v>
      </c>
      <c r="F71" s="8">
        <v>117562150073</v>
      </c>
      <c r="G71" s="7" t="str">
        <f t="shared" si="0"/>
        <v>117562150073@r6-1.deped.gov.ph</v>
      </c>
      <c r="H71" s="8" t="str">
        <f t="shared" si="2"/>
        <v>caberte,311404</v>
      </c>
      <c r="I71" t="s">
        <v>14</v>
      </c>
    </row>
    <row r="72" spans="1:9" ht="12.75">
      <c r="A72" s="2">
        <v>69</v>
      </c>
      <c r="B72" s="7" t="s">
        <v>1551</v>
      </c>
      <c r="C72" s="7" t="s">
        <v>1574</v>
      </c>
      <c r="D72" s="7" t="s">
        <v>1575</v>
      </c>
      <c r="E72" s="8" t="s">
        <v>281</v>
      </c>
      <c r="F72" s="8">
        <v>117562150099</v>
      </c>
      <c r="G72" s="7" t="str">
        <f t="shared" si="0"/>
        <v>117562150099@r6-1.deped.gov.ph</v>
      </c>
      <c r="H72" s="8" t="str">
        <f t="shared" si="2"/>
        <v>dibinito,311404</v>
      </c>
      <c r="I72" t="s">
        <v>14</v>
      </c>
    </row>
    <row r="73" spans="1:9" ht="12.75">
      <c r="A73" s="2">
        <v>70</v>
      </c>
      <c r="B73" s="7" t="s">
        <v>1551</v>
      </c>
      <c r="C73" s="7" t="s">
        <v>666</v>
      </c>
      <c r="D73" s="7" t="s">
        <v>1576</v>
      </c>
      <c r="E73" s="8" t="s">
        <v>255</v>
      </c>
      <c r="F73" s="8">
        <v>117562150037</v>
      </c>
      <c r="G73" s="7" t="str">
        <f t="shared" si="0"/>
        <v>117562150037@r6-1.deped.gov.ph</v>
      </c>
      <c r="H73" s="8" t="str">
        <f t="shared" si="2"/>
        <v>divinagracia,311404</v>
      </c>
      <c r="I73" t="s">
        <v>14</v>
      </c>
    </row>
    <row r="74" spans="1:9" ht="12.75">
      <c r="A74" s="2">
        <v>71</v>
      </c>
      <c r="B74" s="7" t="s">
        <v>1551</v>
      </c>
      <c r="C74" s="7" t="s">
        <v>1200</v>
      </c>
      <c r="D74" s="7" t="s">
        <v>1577</v>
      </c>
      <c r="E74" s="8" t="s">
        <v>231</v>
      </c>
      <c r="F74" s="8">
        <v>117455150276</v>
      </c>
      <c r="G74" s="7" t="str">
        <f t="shared" si="0"/>
        <v>117455150276@r6-1.deped.gov.ph</v>
      </c>
      <c r="H74" s="8" t="str">
        <f t="shared" si="2"/>
        <v>estioco,311404</v>
      </c>
      <c r="I74" t="s">
        <v>14</v>
      </c>
    </row>
    <row r="75" spans="1:9" ht="12.75">
      <c r="A75" s="2">
        <v>72</v>
      </c>
      <c r="B75" s="7" t="s">
        <v>1551</v>
      </c>
      <c r="C75" s="7" t="s">
        <v>1578</v>
      </c>
      <c r="D75" s="7" t="s">
        <v>1579</v>
      </c>
      <c r="E75" s="8" t="s">
        <v>294</v>
      </c>
      <c r="F75" s="8">
        <v>117546150101</v>
      </c>
      <c r="G75" s="7" t="str">
        <f t="shared" si="0"/>
        <v>117546150101@r6-1.deped.gov.ph</v>
      </c>
      <c r="H75" s="8" t="str">
        <f t="shared" si="2"/>
        <v>historia,311404</v>
      </c>
      <c r="I75" t="s">
        <v>14</v>
      </c>
    </row>
    <row r="76" spans="1:9" ht="12.75">
      <c r="A76" s="2">
        <v>73</v>
      </c>
      <c r="B76" s="7" t="s">
        <v>1551</v>
      </c>
      <c r="C76" s="7" t="s">
        <v>1580</v>
      </c>
      <c r="D76" s="7" t="s">
        <v>905</v>
      </c>
      <c r="E76" s="8" t="s">
        <v>239</v>
      </c>
      <c r="F76" s="8">
        <v>109495160423</v>
      </c>
      <c r="G76" s="7" t="str">
        <f t="shared" si="0"/>
        <v>109495160423@r6-1.deped.gov.ph</v>
      </c>
      <c r="H76" s="8" t="str">
        <f t="shared" si="2"/>
        <v>labuguin,311404</v>
      </c>
      <c r="I76" t="s">
        <v>14</v>
      </c>
    </row>
    <row r="77" spans="1:9" ht="12.75">
      <c r="A77" s="2">
        <v>74</v>
      </c>
      <c r="B77" s="7" t="s">
        <v>1551</v>
      </c>
      <c r="C77" s="7" t="s">
        <v>1581</v>
      </c>
      <c r="D77" s="7" t="s">
        <v>1582</v>
      </c>
      <c r="E77" s="8" t="s">
        <v>257</v>
      </c>
      <c r="F77" s="8">
        <v>117562150040</v>
      </c>
      <c r="G77" s="7" t="str">
        <f t="shared" si="0"/>
        <v>117562150040@r6-1.deped.gov.ph</v>
      </c>
      <c r="H77" s="8" t="str">
        <f t="shared" si="2"/>
        <v>lomibao,311404</v>
      </c>
      <c r="I77" t="s">
        <v>14</v>
      </c>
    </row>
    <row r="78" spans="1:9" ht="12.75">
      <c r="A78" s="2">
        <v>75</v>
      </c>
      <c r="B78" s="7" t="s">
        <v>1551</v>
      </c>
      <c r="C78" s="7" t="s">
        <v>1583</v>
      </c>
      <c r="D78" s="7" t="s">
        <v>1584</v>
      </c>
      <c r="E78" s="8" t="s">
        <v>263</v>
      </c>
      <c r="F78" s="8">
        <v>117562150097</v>
      </c>
      <c r="G78" s="7" t="str">
        <f t="shared" si="0"/>
        <v>117562150097@r6-1.deped.gov.ph</v>
      </c>
      <c r="H78" s="8" t="str">
        <f t="shared" si="2"/>
        <v>lopez,311404</v>
      </c>
      <c r="I78" t="s">
        <v>14</v>
      </c>
    </row>
    <row r="79" spans="1:9" ht="12.75">
      <c r="A79" s="2">
        <v>76</v>
      </c>
      <c r="B79" s="7" t="s">
        <v>1551</v>
      </c>
      <c r="C79" s="7" t="s">
        <v>1585</v>
      </c>
      <c r="D79" s="7" t="s">
        <v>1586</v>
      </c>
      <c r="E79" s="8" t="s">
        <v>739</v>
      </c>
      <c r="F79" s="8">
        <v>124008150027</v>
      </c>
      <c r="G79" s="7" t="str">
        <f t="shared" si="0"/>
        <v>124008150027@r6-1.deped.gov.ph</v>
      </c>
      <c r="H79" s="8" t="str">
        <f t="shared" si="2"/>
        <v>manozo,311404</v>
      </c>
      <c r="I79" t="s">
        <v>14</v>
      </c>
    </row>
    <row r="80" spans="1:9" ht="12.75">
      <c r="A80" s="2">
        <v>77</v>
      </c>
      <c r="B80" s="7" t="s">
        <v>1551</v>
      </c>
      <c r="C80" s="7" t="s">
        <v>1587</v>
      </c>
      <c r="D80" s="7" t="s">
        <v>1588</v>
      </c>
      <c r="E80" s="8" t="s">
        <v>294</v>
      </c>
      <c r="F80" s="8">
        <v>117558150044</v>
      </c>
      <c r="G80" s="7" t="str">
        <f t="shared" si="0"/>
        <v>117558150044@r6-1.deped.gov.ph</v>
      </c>
      <c r="H80" s="8" t="str">
        <f t="shared" si="2"/>
        <v>potestad,311404</v>
      </c>
      <c r="I80" t="s">
        <v>14</v>
      </c>
    </row>
    <row r="81" spans="1:9" ht="12.75">
      <c r="A81" s="2">
        <v>78</v>
      </c>
      <c r="B81" s="7" t="s">
        <v>1551</v>
      </c>
      <c r="C81" s="7" t="s">
        <v>1589</v>
      </c>
      <c r="D81" s="7" t="s">
        <v>137</v>
      </c>
      <c r="E81" s="8" t="s">
        <v>263</v>
      </c>
      <c r="F81" s="8">
        <v>117562140103</v>
      </c>
      <c r="G81" s="7" t="str">
        <f t="shared" si="0"/>
        <v>117562140103@r6-1.deped.gov.ph</v>
      </c>
      <c r="H81" s="8" t="str">
        <f t="shared" si="2"/>
        <v>sumalinog,311404</v>
      </c>
      <c r="I81" t="s">
        <v>14</v>
      </c>
    </row>
    <row r="82" spans="1:9" ht="12.75">
      <c r="A82" s="2">
        <v>79</v>
      </c>
      <c r="B82" s="7" t="s">
        <v>1551</v>
      </c>
      <c r="C82" s="7" t="s">
        <v>545</v>
      </c>
      <c r="D82" s="7" t="s">
        <v>1590</v>
      </c>
      <c r="E82" s="8" t="s">
        <v>739</v>
      </c>
      <c r="F82" s="8">
        <v>117562150121</v>
      </c>
      <c r="G82" s="7" t="str">
        <f t="shared" si="0"/>
        <v>117562150121@r6-1.deped.gov.ph</v>
      </c>
      <c r="H82" s="8" t="str">
        <f t="shared" si="2"/>
        <v>vergara,311404</v>
      </c>
      <c r="I82" t="s">
        <v>14</v>
      </c>
    </row>
    <row r="83" spans="1:9" ht="12.75">
      <c r="A83" s="2">
        <v>80</v>
      </c>
      <c r="B83" s="7" t="s">
        <v>1551</v>
      </c>
      <c r="C83" s="7" t="s">
        <v>1591</v>
      </c>
      <c r="D83" s="7" t="s">
        <v>1592</v>
      </c>
      <c r="E83" s="8" t="s">
        <v>309</v>
      </c>
      <c r="F83" s="8">
        <v>117562160068</v>
      </c>
      <c r="G83" s="7" t="str">
        <f t="shared" si="0"/>
        <v>117562160068@r6-1.deped.gov.ph</v>
      </c>
      <c r="H83" s="8" t="str">
        <f t="shared" si="2"/>
        <v>yago,311404</v>
      </c>
      <c r="I83" t="s">
        <v>14</v>
      </c>
    </row>
    <row r="84" spans="1:9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9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9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9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9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9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9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9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9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9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9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9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9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ref="G259:G503" si="3">IF(F259="","",F259&amp;"@r6-1.deped.gov.ph")</f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3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3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3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3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3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3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3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3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3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3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3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3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3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3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3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3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3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3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3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3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3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3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3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3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3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3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3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3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3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3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3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3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3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3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3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3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3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3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3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3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3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3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3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3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3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3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3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3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3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3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3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3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3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3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3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3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3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3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3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3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3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3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3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3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3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3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3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3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3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3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3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3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3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3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3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3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3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3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3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3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3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3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3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3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3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3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3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3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3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3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3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3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3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3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3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3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3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3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3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3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3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3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3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3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3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3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3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3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3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3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3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3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3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3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3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3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3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3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3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3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3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3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3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3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3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3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3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3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3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3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3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3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3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3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3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3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3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3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3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3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3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3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3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3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3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3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3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3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3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3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3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3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3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3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3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3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3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3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3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3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3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3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3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3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3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3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3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3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3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3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3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3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3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3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3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3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3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3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3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3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3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3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3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3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3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3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3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3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3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3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3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3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3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3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3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3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3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3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3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3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3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3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3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3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3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3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3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3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3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3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3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3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3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3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3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3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3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3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3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3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3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3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3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3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3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3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3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3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3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3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3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3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3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3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3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3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3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3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3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3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3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3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3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3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2"/>
  <sheetViews>
    <sheetView topLeftCell="C1" workbookViewId="0">
      <pane ySplit="3" topLeftCell="A79" activePane="bottomLeft" state="frozen"/>
      <selection pane="bottomLeft" activeCell="C55" sqref="C5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1593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1594</v>
      </c>
      <c r="C4" s="7" t="s">
        <v>1595</v>
      </c>
      <c r="D4" s="7" t="s">
        <v>1596</v>
      </c>
      <c r="E4" s="8" t="s">
        <v>59</v>
      </c>
      <c r="F4" s="8">
        <v>404161150377</v>
      </c>
      <c r="G4" s="7" t="str">
        <f t="shared" ref="G4:G265" si="0">IF(F4="","",F4&amp;"@r6-1.deped.gov.ph")</f>
        <v>404161150377@r6-1.deped.gov.ph</v>
      </c>
      <c r="H4" s="8" t="str">
        <f t="shared" ref="H4:H46" si="1">IF(C4="","",LOWER(TRIM(C4))&amp;",302736")</f>
        <v>alladin,302736</v>
      </c>
      <c r="I4" t="s">
        <v>14</v>
      </c>
    </row>
    <row r="5" spans="1:11" ht="12.75">
      <c r="A5" s="2">
        <v>2</v>
      </c>
      <c r="B5" s="7" t="s">
        <v>1594</v>
      </c>
      <c r="C5" s="7" t="s">
        <v>1597</v>
      </c>
      <c r="D5" s="7" t="s">
        <v>1598</v>
      </c>
      <c r="E5" s="8" t="s">
        <v>1599</v>
      </c>
      <c r="F5" s="8">
        <v>117551150076</v>
      </c>
      <c r="G5" s="7" t="str">
        <f t="shared" si="0"/>
        <v>117551150076@r6-1.deped.gov.ph</v>
      </c>
      <c r="H5" s="8" t="str">
        <f t="shared" si="1"/>
        <v>amante,302736</v>
      </c>
      <c r="I5" t="s">
        <v>14</v>
      </c>
    </row>
    <row r="6" spans="1:11" ht="12.75">
      <c r="A6" s="2">
        <v>3</v>
      </c>
      <c r="B6" s="7" t="s">
        <v>1594</v>
      </c>
      <c r="C6" s="7" t="s">
        <v>1600</v>
      </c>
      <c r="D6" s="7" t="s">
        <v>1601</v>
      </c>
      <c r="E6" s="8"/>
      <c r="F6" s="8">
        <v>117808150008</v>
      </c>
      <c r="G6" s="7" t="str">
        <f t="shared" si="0"/>
        <v>117808150008@r6-1.deped.gov.ph</v>
      </c>
      <c r="H6" s="8" t="str">
        <f t="shared" si="1"/>
        <v>andrade,302736</v>
      </c>
      <c r="I6" t="s">
        <v>46</v>
      </c>
    </row>
    <row r="7" spans="1:11" ht="12.75">
      <c r="A7" s="2">
        <v>4</v>
      </c>
      <c r="B7" s="7" t="s">
        <v>1594</v>
      </c>
      <c r="C7" s="7" t="s">
        <v>1602</v>
      </c>
      <c r="D7" s="7" t="s">
        <v>1603</v>
      </c>
      <c r="E7" s="8" t="s">
        <v>268</v>
      </c>
      <c r="F7" s="8">
        <v>117551140034</v>
      </c>
      <c r="G7" s="7" t="str">
        <f t="shared" si="0"/>
        <v>117551140034@r6-1.deped.gov.ph</v>
      </c>
      <c r="H7" s="8" t="str">
        <f t="shared" si="1"/>
        <v>arevalo,302736</v>
      </c>
      <c r="I7" t="s">
        <v>14</v>
      </c>
    </row>
    <row r="8" spans="1:11" ht="12.75">
      <c r="A8" s="2">
        <v>5</v>
      </c>
      <c r="B8" s="7" t="s">
        <v>1594</v>
      </c>
      <c r="C8" s="7" t="s">
        <v>1604</v>
      </c>
      <c r="D8" s="7" t="s">
        <v>1605</v>
      </c>
      <c r="E8" s="8" t="s">
        <v>635</v>
      </c>
      <c r="F8" s="8">
        <v>117551160054</v>
      </c>
      <c r="G8" s="7" t="str">
        <f t="shared" si="0"/>
        <v>117551160054@r6-1.deped.gov.ph</v>
      </c>
      <c r="H8" s="8" t="str">
        <f t="shared" si="1"/>
        <v>belano,302736</v>
      </c>
      <c r="I8" t="s">
        <v>14</v>
      </c>
    </row>
    <row r="9" spans="1:11" ht="12.75">
      <c r="A9" s="2">
        <v>6</v>
      </c>
      <c r="B9" s="7" t="s">
        <v>1594</v>
      </c>
      <c r="C9" s="7" t="s">
        <v>1606</v>
      </c>
      <c r="D9" s="7" t="s">
        <v>1607</v>
      </c>
      <c r="E9" s="8" t="s">
        <v>120</v>
      </c>
      <c r="F9" s="8">
        <v>109833150067</v>
      </c>
      <c r="G9" s="7" t="str">
        <f t="shared" si="0"/>
        <v>109833150067@r6-1.deped.gov.ph</v>
      </c>
      <c r="H9" s="8" t="str">
        <f t="shared" si="1"/>
        <v>beronio,302736</v>
      </c>
      <c r="I9" t="s">
        <v>14</v>
      </c>
    </row>
    <row r="10" spans="1:11" ht="12.75">
      <c r="A10" s="2">
        <v>7</v>
      </c>
      <c r="B10" s="7" t="s">
        <v>1594</v>
      </c>
      <c r="C10" s="7" t="s">
        <v>1608</v>
      </c>
      <c r="D10" s="7" t="s">
        <v>1609</v>
      </c>
      <c r="E10" s="8" t="s">
        <v>616</v>
      </c>
      <c r="F10" s="8">
        <v>117551150028</v>
      </c>
      <c r="G10" s="7" t="str">
        <f t="shared" si="0"/>
        <v>117551150028@r6-1.deped.gov.ph</v>
      </c>
      <c r="H10" s="8" t="str">
        <f t="shared" si="1"/>
        <v>caballero,302736</v>
      </c>
      <c r="I10" t="s">
        <v>14</v>
      </c>
    </row>
    <row r="11" spans="1:11" ht="12.75">
      <c r="A11" s="2">
        <v>8</v>
      </c>
      <c r="B11" s="7" t="s">
        <v>1594</v>
      </c>
      <c r="C11" s="7" t="s">
        <v>1610</v>
      </c>
      <c r="D11" s="7" t="s">
        <v>1611</v>
      </c>
      <c r="E11" s="8" t="s">
        <v>1612</v>
      </c>
      <c r="F11" s="8">
        <v>117551150027</v>
      </c>
      <c r="G11" s="7" t="str">
        <f t="shared" si="0"/>
        <v>117551150027@r6-1.deped.gov.ph</v>
      </c>
      <c r="H11" s="8" t="str">
        <f t="shared" si="1"/>
        <v>cayayan,302736</v>
      </c>
      <c r="I11" t="s">
        <v>14</v>
      </c>
    </row>
    <row r="12" spans="1:11" ht="12.75">
      <c r="A12" s="2">
        <v>9</v>
      </c>
      <c r="B12" s="7" t="s">
        <v>1594</v>
      </c>
      <c r="C12" s="7" t="s">
        <v>1613</v>
      </c>
      <c r="D12" s="7" t="s">
        <v>1614</v>
      </c>
      <c r="E12" s="8" t="s">
        <v>635</v>
      </c>
      <c r="F12" s="8">
        <v>117551150037</v>
      </c>
      <c r="G12" s="7" t="str">
        <f t="shared" si="0"/>
        <v>117551150037@r6-1.deped.gov.ph</v>
      </c>
      <c r="H12" s="8" t="str">
        <f t="shared" si="1"/>
        <v>delator,302736</v>
      </c>
      <c r="I12" t="s">
        <v>14</v>
      </c>
    </row>
    <row r="13" spans="1:11" ht="12.75">
      <c r="A13" s="2">
        <v>10</v>
      </c>
      <c r="B13" s="7" t="s">
        <v>1594</v>
      </c>
      <c r="C13" s="7" t="s">
        <v>1615</v>
      </c>
      <c r="D13" s="7" t="s">
        <v>1616</v>
      </c>
      <c r="E13" s="8" t="s">
        <v>635</v>
      </c>
      <c r="F13" s="8">
        <v>117551150047</v>
      </c>
      <c r="G13" s="7" t="str">
        <f t="shared" si="0"/>
        <v>117551150047@r6-1.deped.gov.ph</v>
      </c>
      <c r="H13" s="8" t="str">
        <f t="shared" si="1"/>
        <v>duque,302736</v>
      </c>
      <c r="I13" t="s">
        <v>14</v>
      </c>
    </row>
    <row r="14" spans="1:11" ht="12.75">
      <c r="A14" s="2">
        <v>11</v>
      </c>
      <c r="B14" s="7" t="s">
        <v>1594</v>
      </c>
      <c r="C14" s="7" t="s">
        <v>1617</v>
      </c>
      <c r="D14" s="7" t="s">
        <v>1618</v>
      </c>
      <c r="E14" s="8"/>
      <c r="F14" s="8">
        <v>117551150042</v>
      </c>
      <c r="G14" s="7" t="str">
        <f t="shared" si="0"/>
        <v>117551150042@r6-1.deped.gov.ph</v>
      </c>
      <c r="H14" s="8" t="str">
        <f t="shared" si="1"/>
        <v>estelloso,302736</v>
      </c>
      <c r="I14" t="s">
        <v>14</v>
      </c>
    </row>
    <row r="15" spans="1:11" ht="12.75">
      <c r="A15" s="2">
        <v>12</v>
      </c>
      <c r="B15" s="7" t="s">
        <v>1594</v>
      </c>
      <c r="C15" s="7" t="s">
        <v>1619</v>
      </c>
      <c r="D15" s="7" t="s">
        <v>1620</v>
      </c>
      <c r="E15" s="8" t="s">
        <v>66</v>
      </c>
      <c r="F15" s="8">
        <v>116778150120</v>
      </c>
      <c r="G15" s="7" t="str">
        <f t="shared" si="0"/>
        <v>116778150120@r6-1.deped.gov.ph</v>
      </c>
      <c r="H15" s="8" t="str">
        <f t="shared" si="1"/>
        <v>lanciola,302736</v>
      </c>
      <c r="I15" t="s">
        <v>14</v>
      </c>
    </row>
    <row r="16" spans="1:11" ht="12.75">
      <c r="A16" s="2">
        <v>13</v>
      </c>
      <c r="B16" s="7" t="s">
        <v>1594</v>
      </c>
      <c r="C16" s="7" t="s">
        <v>1621</v>
      </c>
      <c r="D16" s="7" t="s">
        <v>1622</v>
      </c>
      <c r="E16" s="8" t="s">
        <v>1623</v>
      </c>
      <c r="F16" s="8">
        <v>117551150048</v>
      </c>
      <c r="G16" s="7" t="str">
        <f t="shared" si="0"/>
        <v>117551150048@r6-1.deped.gov.ph</v>
      </c>
      <c r="H16" s="8" t="str">
        <f t="shared" si="1"/>
        <v>leonoras,302736</v>
      </c>
      <c r="I16" t="s">
        <v>14</v>
      </c>
    </row>
    <row r="17" spans="1:9" ht="12.75">
      <c r="A17" s="2">
        <v>14</v>
      </c>
      <c r="B17" s="7" t="s">
        <v>1594</v>
      </c>
      <c r="C17" s="7" t="s">
        <v>1624</v>
      </c>
      <c r="D17" s="7" t="s">
        <v>1625</v>
      </c>
      <c r="E17" s="8" t="s">
        <v>1599</v>
      </c>
      <c r="F17" s="8">
        <v>117551150008</v>
      </c>
      <c r="G17" s="7" t="str">
        <f t="shared" si="0"/>
        <v>117551150008@r6-1.deped.gov.ph</v>
      </c>
      <c r="H17" s="8" t="str">
        <f t="shared" si="1"/>
        <v>llavore,302736</v>
      </c>
      <c r="I17" t="s">
        <v>14</v>
      </c>
    </row>
    <row r="18" spans="1:9" ht="12.75">
      <c r="A18" s="2">
        <v>15</v>
      </c>
      <c r="B18" s="7" t="s">
        <v>1594</v>
      </c>
      <c r="C18" s="7" t="s">
        <v>1626</v>
      </c>
      <c r="D18" s="7" t="s">
        <v>1627</v>
      </c>
      <c r="E18" s="8" t="s">
        <v>1599</v>
      </c>
      <c r="F18" s="8">
        <v>117551150004</v>
      </c>
      <c r="G18" s="7" t="str">
        <f t="shared" si="0"/>
        <v>117551150004@r6-1.deped.gov.ph</v>
      </c>
      <c r="H18" s="8" t="str">
        <f t="shared" si="1"/>
        <v>lopez,302736</v>
      </c>
      <c r="I18" t="s">
        <v>14</v>
      </c>
    </row>
    <row r="19" spans="1:9" ht="12.75">
      <c r="A19" s="2">
        <v>16</v>
      </c>
      <c r="B19" s="7" t="s">
        <v>1594</v>
      </c>
      <c r="C19" s="7" t="s">
        <v>1628</v>
      </c>
      <c r="D19" s="7" t="s">
        <v>1629</v>
      </c>
      <c r="E19" s="8" t="s">
        <v>34</v>
      </c>
      <c r="F19" s="8">
        <v>117551150004</v>
      </c>
      <c r="G19" s="7" t="str">
        <f t="shared" si="0"/>
        <v>117551150004@r6-1.deped.gov.ph</v>
      </c>
      <c r="H19" s="8" t="str">
        <f t="shared" si="1"/>
        <v>pillora,302736</v>
      </c>
      <c r="I19" t="s">
        <v>14</v>
      </c>
    </row>
    <row r="20" spans="1:9" ht="12.75">
      <c r="A20" s="2">
        <v>17</v>
      </c>
      <c r="B20" s="7" t="s">
        <v>1594</v>
      </c>
      <c r="C20" s="7" t="s">
        <v>1630</v>
      </c>
      <c r="D20" s="7" t="s">
        <v>1631</v>
      </c>
      <c r="E20" s="8" t="s">
        <v>59</v>
      </c>
      <c r="F20" s="8">
        <v>107756150030</v>
      </c>
      <c r="G20" s="7" t="str">
        <f t="shared" si="0"/>
        <v>107756150030@r6-1.deped.gov.ph</v>
      </c>
      <c r="H20" s="8" t="str">
        <f t="shared" si="1"/>
        <v>ramboyong,302736</v>
      </c>
      <c r="I20" t="s">
        <v>14</v>
      </c>
    </row>
    <row r="21" spans="1:9" ht="12.75">
      <c r="A21" s="2">
        <v>18</v>
      </c>
      <c r="B21" s="7" t="s">
        <v>1594</v>
      </c>
      <c r="C21" s="7" t="s">
        <v>1632</v>
      </c>
      <c r="D21" s="7" t="s">
        <v>1633</v>
      </c>
      <c r="E21" s="8" t="s">
        <v>1634</v>
      </c>
      <c r="F21" s="8">
        <v>117551160044</v>
      </c>
      <c r="G21" s="7" t="str">
        <f t="shared" si="0"/>
        <v>117551160044@r6-1.deped.gov.ph</v>
      </c>
      <c r="H21" s="8" t="str">
        <f t="shared" si="1"/>
        <v>saiyo,302736</v>
      </c>
      <c r="I21" t="s">
        <v>14</v>
      </c>
    </row>
    <row r="22" spans="1:9" ht="12.75">
      <c r="A22" s="2">
        <v>19</v>
      </c>
      <c r="B22" s="7" t="s">
        <v>1594</v>
      </c>
      <c r="C22" s="7" t="s">
        <v>1635</v>
      </c>
      <c r="D22" s="7" t="s">
        <v>1636</v>
      </c>
      <c r="E22" s="8" t="s">
        <v>76</v>
      </c>
      <c r="F22" s="8">
        <v>117551150040</v>
      </c>
      <c r="G22" s="7" t="str">
        <f t="shared" si="0"/>
        <v>117551150040@r6-1.deped.gov.ph</v>
      </c>
      <c r="H22" s="8" t="str">
        <f t="shared" si="1"/>
        <v>solesta,302736</v>
      </c>
      <c r="I22" t="s">
        <v>14</v>
      </c>
    </row>
    <row r="23" spans="1:9" ht="12.75">
      <c r="A23" s="2">
        <v>20</v>
      </c>
      <c r="B23" s="7" t="s">
        <v>1594</v>
      </c>
      <c r="C23" s="7" t="s">
        <v>1637</v>
      </c>
      <c r="D23" s="7" t="s">
        <v>1638</v>
      </c>
      <c r="E23" s="8" t="s">
        <v>635</v>
      </c>
      <c r="F23" s="8">
        <v>117551150012</v>
      </c>
      <c r="G23" s="7" t="str">
        <f t="shared" si="0"/>
        <v>117551150012@r6-1.deped.gov.ph</v>
      </c>
      <c r="H23" s="8" t="str">
        <f t="shared" si="1"/>
        <v>teguihanon,302736</v>
      </c>
      <c r="I23" t="s">
        <v>14</v>
      </c>
    </row>
    <row r="24" spans="1:9" ht="12.75">
      <c r="A24" s="2">
        <v>21</v>
      </c>
      <c r="B24" s="7" t="s">
        <v>1594</v>
      </c>
      <c r="C24" s="7" t="s">
        <v>1639</v>
      </c>
      <c r="D24" s="7" t="s">
        <v>1640</v>
      </c>
      <c r="E24" s="8" t="s">
        <v>59</v>
      </c>
      <c r="F24" s="8">
        <v>117551160066</v>
      </c>
      <c r="G24" s="7" t="str">
        <f t="shared" si="0"/>
        <v>117551160066@r6-1.deped.gov.ph</v>
      </c>
      <c r="H24" s="8" t="str">
        <f t="shared" si="1"/>
        <v>togle,302736</v>
      </c>
      <c r="I24" t="s">
        <v>14</v>
      </c>
    </row>
    <row r="25" spans="1:9" ht="12.75">
      <c r="A25" s="2">
        <v>22</v>
      </c>
      <c r="B25" s="7" t="s">
        <v>1594</v>
      </c>
      <c r="C25" s="7" t="s">
        <v>1641</v>
      </c>
      <c r="D25" s="7" t="s">
        <v>1642</v>
      </c>
      <c r="E25" s="8" t="s">
        <v>616</v>
      </c>
      <c r="F25" s="8">
        <v>117551160046</v>
      </c>
      <c r="G25" s="7" t="str">
        <f t="shared" si="0"/>
        <v>117551160046@r6-1.deped.gov.ph</v>
      </c>
      <c r="H25" s="8" t="str">
        <f t="shared" si="1"/>
        <v>valencia,302736</v>
      </c>
      <c r="I25" t="s">
        <v>14</v>
      </c>
    </row>
    <row r="26" spans="1:9" ht="12.75">
      <c r="A26" s="2">
        <v>23</v>
      </c>
      <c r="B26" s="7" t="s">
        <v>1594</v>
      </c>
      <c r="C26" s="7" t="s">
        <v>1643</v>
      </c>
      <c r="D26" s="7" t="s">
        <v>1644</v>
      </c>
      <c r="E26" s="8" t="s">
        <v>1645</v>
      </c>
      <c r="F26" s="8">
        <v>117551150009</v>
      </c>
      <c r="G26" s="7" t="str">
        <f t="shared" si="0"/>
        <v>117551150009@r6-1.deped.gov.ph</v>
      </c>
      <c r="H26" s="8" t="str">
        <f t="shared" si="1"/>
        <v>valiente,302736</v>
      </c>
      <c r="I26" t="s">
        <v>14</v>
      </c>
    </row>
    <row r="27" spans="1:9" ht="12.75">
      <c r="A27" s="2">
        <v>24</v>
      </c>
      <c r="B27" s="7" t="s">
        <v>1594</v>
      </c>
      <c r="C27" s="7" t="s">
        <v>1646</v>
      </c>
      <c r="D27" s="7" t="s">
        <v>1647</v>
      </c>
      <c r="E27" s="8" t="s">
        <v>1612</v>
      </c>
      <c r="F27" s="8">
        <v>117551150077</v>
      </c>
      <c r="G27" s="7" t="str">
        <f t="shared" si="0"/>
        <v>117551150077@r6-1.deped.gov.ph</v>
      </c>
      <c r="H27" s="8" t="str">
        <f t="shared" si="1"/>
        <v>villanueva,302736</v>
      </c>
      <c r="I27" t="s">
        <v>14</v>
      </c>
    </row>
    <row r="28" spans="1:9" ht="12.75">
      <c r="A28" s="2">
        <v>25</v>
      </c>
      <c r="B28" s="7" t="s">
        <v>1594</v>
      </c>
      <c r="C28" s="7" t="s">
        <v>1648</v>
      </c>
      <c r="D28" s="7" t="s">
        <v>1649</v>
      </c>
      <c r="E28" s="8" t="s">
        <v>83</v>
      </c>
      <c r="F28" s="8">
        <v>117534160015</v>
      </c>
      <c r="G28" s="7" t="str">
        <f t="shared" si="0"/>
        <v>117534160015@r6-1.deped.gov.ph</v>
      </c>
      <c r="H28" s="8" t="str">
        <f t="shared" si="1"/>
        <v>alejandro,302736</v>
      </c>
      <c r="I28" t="s">
        <v>14</v>
      </c>
    </row>
    <row r="29" spans="1:9" ht="12.75">
      <c r="A29" s="2">
        <v>26</v>
      </c>
      <c r="B29" s="7" t="s">
        <v>1594</v>
      </c>
      <c r="C29" s="7" t="s">
        <v>1650</v>
      </c>
      <c r="D29" s="7" t="s">
        <v>1651</v>
      </c>
      <c r="E29" s="8" t="s">
        <v>1612</v>
      </c>
      <c r="F29" s="8">
        <v>117551160047</v>
      </c>
      <c r="G29" s="7" t="str">
        <f t="shared" si="0"/>
        <v>117551160047@r6-1.deped.gov.ph</v>
      </c>
      <c r="H29" s="8" t="str">
        <f t="shared" si="1"/>
        <v>berden,302736</v>
      </c>
      <c r="I29" t="s">
        <v>14</v>
      </c>
    </row>
    <row r="30" spans="1:9" ht="12.75">
      <c r="A30" s="2">
        <v>27</v>
      </c>
      <c r="B30" s="7" t="s">
        <v>1594</v>
      </c>
      <c r="C30" s="7" t="s">
        <v>1652</v>
      </c>
      <c r="D30" s="7" t="s">
        <v>1653</v>
      </c>
      <c r="E30" s="8" t="s">
        <v>1599</v>
      </c>
      <c r="F30" s="8">
        <v>117551150032</v>
      </c>
      <c r="G30" s="7" t="str">
        <f t="shared" si="0"/>
        <v>117551150032@r6-1.deped.gov.ph</v>
      </c>
      <c r="H30" s="8" t="str">
        <f t="shared" si="1"/>
        <v>contega,302736</v>
      </c>
      <c r="I30" t="s">
        <v>14</v>
      </c>
    </row>
    <row r="31" spans="1:9" ht="12.75">
      <c r="A31" s="2">
        <v>28</v>
      </c>
      <c r="B31" s="7" t="s">
        <v>1594</v>
      </c>
      <c r="C31" s="7" t="s">
        <v>1654</v>
      </c>
      <c r="D31" s="7" t="s">
        <v>1655</v>
      </c>
      <c r="E31" s="8" t="s">
        <v>1623</v>
      </c>
      <c r="F31" s="8">
        <v>117551150036</v>
      </c>
      <c r="G31" s="7" t="str">
        <f t="shared" si="0"/>
        <v>117551150036@r6-1.deped.gov.ph</v>
      </c>
      <c r="H31" s="8" t="str">
        <f t="shared" si="1"/>
        <v>depatillo,302736</v>
      </c>
      <c r="I31" t="s">
        <v>14</v>
      </c>
    </row>
    <row r="32" spans="1:9" ht="12.75">
      <c r="A32" s="2">
        <v>29</v>
      </c>
      <c r="B32" s="7" t="s">
        <v>1594</v>
      </c>
      <c r="C32" s="7" t="s">
        <v>1656</v>
      </c>
      <c r="D32" s="7" t="s">
        <v>1657</v>
      </c>
      <c r="E32" s="8" t="s">
        <v>616</v>
      </c>
      <c r="F32" s="8">
        <v>117551150079</v>
      </c>
      <c r="G32" s="7" t="str">
        <f t="shared" si="0"/>
        <v>117551150079@r6-1.deped.gov.ph</v>
      </c>
      <c r="H32" s="8" t="str">
        <f t="shared" si="1"/>
        <v>galleno,302736</v>
      </c>
      <c r="I32" t="s">
        <v>14</v>
      </c>
    </row>
    <row r="33" spans="1:9" ht="12.75">
      <c r="A33" s="2">
        <v>30</v>
      </c>
      <c r="B33" s="7" t="s">
        <v>1594</v>
      </c>
      <c r="C33" s="7" t="s">
        <v>1656</v>
      </c>
      <c r="D33" s="7" t="s">
        <v>1658</v>
      </c>
      <c r="E33" s="8" t="s">
        <v>66</v>
      </c>
      <c r="F33" s="8">
        <v>181004140231</v>
      </c>
      <c r="G33" s="7" t="str">
        <f t="shared" si="0"/>
        <v>181004140231@r6-1.deped.gov.ph</v>
      </c>
      <c r="H33" s="8" t="str">
        <f t="shared" si="1"/>
        <v>galleno,302736</v>
      </c>
      <c r="I33" t="s">
        <v>46</v>
      </c>
    </row>
    <row r="34" spans="1:9" ht="12.75">
      <c r="A34" s="2">
        <v>31</v>
      </c>
      <c r="B34" s="7" t="s">
        <v>1594</v>
      </c>
      <c r="C34" s="7" t="s">
        <v>1656</v>
      </c>
      <c r="D34" s="7" t="s">
        <v>1659</v>
      </c>
      <c r="E34" s="8" t="s">
        <v>66</v>
      </c>
      <c r="F34" s="8">
        <v>181004150027</v>
      </c>
      <c r="G34" s="7" t="str">
        <f t="shared" si="0"/>
        <v>181004150027@r6-1.deped.gov.ph</v>
      </c>
      <c r="H34" s="8" t="str">
        <f t="shared" si="1"/>
        <v>galleno,302736</v>
      </c>
      <c r="I34" t="s">
        <v>46</v>
      </c>
    </row>
    <row r="35" spans="1:9" ht="12.75">
      <c r="A35" s="2">
        <v>32</v>
      </c>
      <c r="B35" s="7" t="s">
        <v>1594</v>
      </c>
      <c r="C35" s="7" t="s">
        <v>1660</v>
      </c>
      <c r="D35" s="7" t="s">
        <v>1661</v>
      </c>
      <c r="E35" s="8" t="s">
        <v>34</v>
      </c>
      <c r="F35" s="8">
        <v>117551160067</v>
      </c>
      <c r="G35" s="7" t="str">
        <f t="shared" si="0"/>
        <v>117551160067@r6-1.deped.gov.ph</v>
      </c>
      <c r="H35" s="8" t="str">
        <f t="shared" si="1"/>
        <v>gomez,302736</v>
      </c>
      <c r="I35" t="s">
        <v>14</v>
      </c>
    </row>
    <row r="36" spans="1:9" ht="12.75">
      <c r="A36" s="2">
        <v>33</v>
      </c>
      <c r="B36" s="7" t="s">
        <v>1594</v>
      </c>
      <c r="C36" s="7" t="s">
        <v>1662</v>
      </c>
      <c r="D36" s="7" t="s">
        <v>1663</v>
      </c>
      <c r="E36" s="8" t="s">
        <v>120</v>
      </c>
      <c r="F36" s="8">
        <v>117551150061</v>
      </c>
      <c r="G36" s="7" t="str">
        <f t="shared" si="0"/>
        <v>117551150061@r6-1.deped.gov.ph</v>
      </c>
      <c r="H36" s="8" t="str">
        <f t="shared" si="1"/>
        <v>gonzaga,302736</v>
      </c>
      <c r="I36" t="s">
        <v>14</v>
      </c>
    </row>
    <row r="37" spans="1:9" ht="12.75">
      <c r="A37" s="2">
        <v>34</v>
      </c>
      <c r="B37" s="7" t="s">
        <v>1594</v>
      </c>
      <c r="C37" s="7" t="s">
        <v>1664</v>
      </c>
      <c r="D37" s="7" t="s">
        <v>1665</v>
      </c>
      <c r="E37" s="8" t="s">
        <v>71</v>
      </c>
      <c r="F37" s="8">
        <v>117551150055</v>
      </c>
      <c r="G37" s="7" t="str">
        <f t="shared" si="0"/>
        <v>117551150055@r6-1.deped.gov.ph</v>
      </c>
      <c r="H37" s="8" t="str">
        <f t="shared" si="1"/>
        <v>gutierrez,302736</v>
      </c>
      <c r="I37" t="s">
        <v>14</v>
      </c>
    </row>
    <row r="38" spans="1:9" ht="12.75">
      <c r="A38" s="2">
        <v>35</v>
      </c>
      <c r="B38" s="7" t="s">
        <v>1594</v>
      </c>
      <c r="C38" s="7" t="s">
        <v>1666</v>
      </c>
      <c r="D38" s="7" t="s">
        <v>1667</v>
      </c>
      <c r="E38" s="8" t="s">
        <v>71</v>
      </c>
      <c r="F38" s="8">
        <v>117533160022</v>
      </c>
      <c r="G38" s="7" t="str">
        <f t="shared" si="0"/>
        <v>117533160022@r6-1.deped.gov.ph</v>
      </c>
      <c r="H38" s="8" t="str">
        <f t="shared" si="1"/>
        <v>lumanog,302736</v>
      </c>
      <c r="I38" t="s">
        <v>46</v>
      </c>
    </row>
    <row r="39" spans="1:9" ht="12.75">
      <c r="A39" s="2">
        <v>36</v>
      </c>
      <c r="B39" s="7" t="s">
        <v>1594</v>
      </c>
      <c r="C39" s="7" t="s">
        <v>1668</v>
      </c>
      <c r="D39" s="7" t="s">
        <v>1669</v>
      </c>
      <c r="E39" s="8" t="s">
        <v>83</v>
      </c>
      <c r="F39" s="8">
        <v>117551130108</v>
      </c>
      <c r="G39" s="7" t="str">
        <f t="shared" si="0"/>
        <v>117551130108@r6-1.deped.gov.ph</v>
      </c>
      <c r="H39" s="8" t="str">
        <f t="shared" si="1"/>
        <v>mahinay,302736</v>
      </c>
      <c r="I39" t="s">
        <v>14</v>
      </c>
    </row>
    <row r="40" spans="1:9" ht="12.75">
      <c r="A40" s="2">
        <v>37</v>
      </c>
      <c r="B40" s="7" t="s">
        <v>1594</v>
      </c>
      <c r="C40" s="7" t="s">
        <v>1670</v>
      </c>
      <c r="D40" s="7" t="s">
        <v>1671</v>
      </c>
      <c r="E40" s="8" t="s">
        <v>1645</v>
      </c>
      <c r="F40" s="8">
        <v>108168140101</v>
      </c>
      <c r="G40" s="7" t="str">
        <f t="shared" si="0"/>
        <v>108168140101@r6-1.deped.gov.ph</v>
      </c>
      <c r="H40" s="8" t="str">
        <f t="shared" si="1"/>
        <v>manlangit,302736</v>
      </c>
      <c r="I40" t="s">
        <v>14</v>
      </c>
    </row>
    <row r="41" spans="1:9" ht="12.75">
      <c r="A41" s="2">
        <v>38</v>
      </c>
      <c r="B41" s="7" t="s">
        <v>1594</v>
      </c>
      <c r="C41" s="7" t="s">
        <v>1672</v>
      </c>
      <c r="D41" s="7" t="s">
        <v>1673</v>
      </c>
      <c r="E41" s="8" t="s">
        <v>120</v>
      </c>
      <c r="F41" s="8">
        <v>117551150024</v>
      </c>
      <c r="G41" s="7" t="str">
        <f t="shared" si="0"/>
        <v>117551150024@r6-1.deped.gov.ph</v>
      </c>
      <c r="H41" s="8" t="str">
        <f t="shared" si="1"/>
        <v>marcellano,302736</v>
      </c>
      <c r="I41" t="s">
        <v>14</v>
      </c>
    </row>
    <row r="42" spans="1:9" ht="12.75">
      <c r="A42" s="2">
        <v>39</v>
      </c>
      <c r="B42" s="7" t="s">
        <v>1594</v>
      </c>
      <c r="C42" s="7" t="s">
        <v>1674</v>
      </c>
      <c r="D42" s="7" t="s">
        <v>1675</v>
      </c>
      <c r="E42" s="8" t="s">
        <v>39</v>
      </c>
      <c r="F42" s="8">
        <v>117551150072</v>
      </c>
      <c r="G42" s="7" t="str">
        <f t="shared" si="0"/>
        <v>117551150072@r6-1.deped.gov.ph</v>
      </c>
      <c r="H42" s="8" t="str">
        <f t="shared" si="1"/>
        <v>montebon,302736</v>
      </c>
      <c r="I42" t="s">
        <v>14</v>
      </c>
    </row>
    <row r="43" spans="1:9" ht="12.75">
      <c r="A43" s="2">
        <v>40</v>
      </c>
      <c r="B43" s="7" t="s">
        <v>1594</v>
      </c>
      <c r="C43" s="7" t="s">
        <v>1676</v>
      </c>
      <c r="D43" s="7" t="s">
        <v>1677</v>
      </c>
      <c r="E43" s="8" t="s">
        <v>59</v>
      </c>
      <c r="F43" s="8">
        <v>117551160068</v>
      </c>
      <c r="G43" s="7" t="str">
        <f t="shared" si="0"/>
        <v>117551160068@r6-1.deped.gov.ph</v>
      </c>
      <c r="H43" s="8" t="str">
        <f t="shared" si="1"/>
        <v>nabor,302736</v>
      </c>
      <c r="I43" t="s">
        <v>14</v>
      </c>
    </row>
    <row r="44" spans="1:9" ht="12.75">
      <c r="A44" s="2">
        <v>41</v>
      </c>
      <c r="B44" s="7" t="s">
        <v>1594</v>
      </c>
      <c r="C44" s="7" t="s">
        <v>1678</v>
      </c>
      <c r="D44" s="7" t="s">
        <v>1679</v>
      </c>
      <c r="E44" s="8" t="s">
        <v>221</v>
      </c>
      <c r="F44" s="8">
        <v>117551150073</v>
      </c>
      <c r="G44" s="7" t="str">
        <f t="shared" si="0"/>
        <v>117551150073@r6-1.deped.gov.ph</v>
      </c>
      <c r="H44" s="8" t="str">
        <f t="shared" si="1"/>
        <v>olavia,302736</v>
      </c>
      <c r="I44" t="s">
        <v>14</v>
      </c>
    </row>
    <row r="45" spans="1:9" ht="12.75">
      <c r="A45" s="2">
        <v>42</v>
      </c>
      <c r="B45" s="7" t="s">
        <v>1594</v>
      </c>
      <c r="C45" s="7" t="s">
        <v>1680</v>
      </c>
      <c r="D45" s="7" t="s">
        <v>1681</v>
      </c>
      <c r="E45" s="8" t="s">
        <v>1612</v>
      </c>
      <c r="F45" s="8">
        <v>117551150062</v>
      </c>
      <c r="G45" s="7" t="str">
        <f t="shared" si="0"/>
        <v>117551150062@r6-1.deped.gov.ph</v>
      </c>
      <c r="H45" s="8" t="str">
        <f t="shared" si="1"/>
        <v>parcon,302736</v>
      </c>
      <c r="I45" t="s">
        <v>14</v>
      </c>
    </row>
    <row r="46" spans="1:9" ht="12.75">
      <c r="A46" s="2">
        <v>43</v>
      </c>
      <c r="B46" s="7" t="s">
        <v>1594</v>
      </c>
      <c r="C46" s="7" t="s">
        <v>1682</v>
      </c>
      <c r="D46" s="7" t="s">
        <v>1683</v>
      </c>
      <c r="E46" s="8" t="s">
        <v>1623</v>
      </c>
      <c r="F46" s="8">
        <v>117551140020</v>
      </c>
      <c r="G46" s="7" t="str">
        <f t="shared" si="0"/>
        <v>117551140020@r6-1.deped.gov.ph</v>
      </c>
      <c r="H46" s="8" t="str">
        <f t="shared" si="1"/>
        <v>villacampa,302736</v>
      </c>
      <c r="I46" t="s">
        <v>14</v>
      </c>
    </row>
    <row r="47" spans="1:9" ht="12.75">
      <c r="A47" s="2">
        <v>44</v>
      </c>
      <c r="B47" s="7"/>
      <c r="C47" s="7"/>
      <c r="D47" s="7"/>
      <c r="E47" s="8"/>
      <c r="F47" s="8"/>
      <c r="G47" s="7"/>
      <c r="H47" s="8"/>
    </row>
    <row r="48" spans="1:9" ht="12.75">
      <c r="A48" s="2">
        <v>45</v>
      </c>
      <c r="B48" s="7"/>
      <c r="C48" s="7"/>
      <c r="D48" s="7"/>
      <c r="E48" s="8"/>
      <c r="F48" s="8"/>
      <c r="G48" s="7"/>
      <c r="H48" s="8"/>
    </row>
    <row r="49" spans="1:9" ht="12.75">
      <c r="A49" s="2">
        <v>46</v>
      </c>
      <c r="B49" s="7"/>
      <c r="C49" s="7"/>
      <c r="D49" s="7"/>
      <c r="E49" s="8"/>
      <c r="F49" s="8"/>
      <c r="G49" s="7"/>
      <c r="H49" s="8"/>
    </row>
    <row r="50" spans="1:9" ht="12.75">
      <c r="A50" s="2">
        <v>47</v>
      </c>
      <c r="B50" s="7"/>
      <c r="C50" s="7"/>
      <c r="D50" s="7"/>
      <c r="E50" s="8"/>
      <c r="F50" s="8"/>
      <c r="G50" s="7"/>
      <c r="H50" s="8"/>
    </row>
    <row r="51" spans="1:9" ht="12.75">
      <c r="A51" s="2">
        <v>48</v>
      </c>
      <c r="B51" s="7"/>
      <c r="C51" s="7"/>
      <c r="D51" s="7"/>
      <c r="E51" s="8"/>
      <c r="F51" s="8"/>
      <c r="G51" s="7"/>
      <c r="H51" s="8"/>
    </row>
    <row r="52" spans="1:9" ht="12.75">
      <c r="A52" s="2">
        <v>49</v>
      </c>
      <c r="B52" s="7"/>
      <c r="C52" s="7"/>
      <c r="D52" s="7"/>
      <c r="E52" s="8"/>
      <c r="F52" s="8"/>
      <c r="G52" s="7"/>
      <c r="H52" s="8"/>
    </row>
    <row r="53" spans="1:9" ht="15">
      <c r="A53" s="2">
        <v>50</v>
      </c>
      <c r="B53" s="8" t="s">
        <v>1684</v>
      </c>
      <c r="C53" s="23" t="s">
        <v>1685</v>
      </c>
      <c r="D53" s="24" t="s">
        <v>1686</v>
      </c>
      <c r="E53" s="24" t="s">
        <v>739</v>
      </c>
      <c r="F53" s="25">
        <v>117558150023</v>
      </c>
      <c r="G53" s="7" t="str">
        <f t="shared" si="0"/>
        <v>117558150023@r6-1.deped.gov.ph</v>
      </c>
      <c r="H53" s="8" t="str">
        <f t="shared" ref="H53:H94" si="2">IF(C53="","",LOWER(TRIM(C53))&amp;",302736")</f>
        <v>banhao,302736</v>
      </c>
      <c r="I53" t="s">
        <v>14</v>
      </c>
    </row>
    <row r="54" spans="1:9" ht="15">
      <c r="A54" s="2">
        <v>51</v>
      </c>
      <c r="B54" s="8" t="s">
        <v>1684</v>
      </c>
      <c r="C54" s="26" t="s">
        <v>1687</v>
      </c>
      <c r="D54" s="24" t="s">
        <v>1688</v>
      </c>
      <c r="E54" s="24" t="s">
        <v>263</v>
      </c>
      <c r="F54" s="27">
        <v>117736150014</v>
      </c>
      <c r="G54" s="7" t="str">
        <f t="shared" si="0"/>
        <v>117736150014@r6-1.deped.gov.ph</v>
      </c>
      <c r="H54" s="8" t="str">
        <f t="shared" si="2"/>
        <v>bascar,302736</v>
      </c>
      <c r="I54" t="s">
        <v>14</v>
      </c>
    </row>
    <row r="55" spans="1:9" ht="15">
      <c r="A55" s="2">
        <v>52</v>
      </c>
      <c r="B55" s="8" t="s">
        <v>1684</v>
      </c>
      <c r="C55" s="26" t="s">
        <v>1689</v>
      </c>
      <c r="D55" s="24" t="s">
        <v>1690</v>
      </c>
      <c r="E55" s="24" t="s">
        <v>257</v>
      </c>
      <c r="F55" s="27">
        <v>117558120024</v>
      </c>
      <c r="G55" s="7" t="str">
        <f t="shared" si="0"/>
        <v>117558120024@r6-1.deped.gov.ph</v>
      </c>
      <c r="H55" s="8" t="str">
        <f t="shared" si="2"/>
        <v>cañas,302736</v>
      </c>
      <c r="I55" t="s">
        <v>14</v>
      </c>
    </row>
    <row r="56" spans="1:9" ht="15">
      <c r="A56" s="2">
        <v>53</v>
      </c>
      <c r="B56" s="8" t="s">
        <v>1684</v>
      </c>
      <c r="C56" s="26" t="s">
        <v>1691</v>
      </c>
      <c r="D56" s="24" t="s">
        <v>1692</v>
      </c>
      <c r="E56" s="24" t="s">
        <v>361</v>
      </c>
      <c r="F56" s="27">
        <v>136555150617</v>
      </c>
      <c r="G56" s="7" t="str">
        <f t="shared" si="0"/>
        <v>136555150617@r6-1.deped.gov.ph</v>
      </c>
      <c r="H56" s="8" t="str">
        <f t="shared" si="2"/>
        <v>cereso,302736</v>
      </c>
      <c r="I56" t="s">
        <v>14</v>
      </c>
    </row>
    <row r="57" spans="1:9" ht="15">
      <c r="A57" s="2">
        <v>54</v>
      </c>
      <c r="B57" s="8" t="s">
        <v>1684</v>
      </c>
      <c r="C57" s="26" t="s">
        <v>1693</v>
      </c>
      <c r="D57" s="24" t="s">
        <v>1694</v>
      </c>
      <c r="E57" s="24" t="s">
        <v>252</v>
      </c>
      <c r="F57" s="27">
        <v>117545150004</v>
      </c>
      <c r="G57" s="7" t="str">
        <f t="shared" si="0"/>
        <v>117545150004@r6-1.deped.gov.ph</v>
      </c>
      <c r="H57" s="8" t="str">
        <f t="shared" si="2"/>
        <v>donoga,302736</v>
      </c>
      <c r="I57" t="s">
        <v>14</v>
      </c>
    </row>
    <row r="58" spans="1:9" ht="15">
      <c r="A58" s="2">
        <v>55</v>
      </c>
      <c r="B58" s="8" t="s">
        <v>1684</v>
      </c>
      <c r="C58" s="26" t="s">
        <v>1695</v>
      </c>
      <c r="D58" s="24" t="s">
        <v>791</v>
      </c>
      <c r="E58" s="24" t="s">
        <v>255</v>
      </c>
      <c r="F58" s="27">
        <v>117716140179</v>
      </c>
      <c r="G58" s="7" t="str">
        <f t="shared" si="0"/>
        <v>117716140179@r6-1.deped.gov.ph</v>
      </c>
      <c r="H58" s="8" t="str">
        <f t="shared" si="2"/>
        <v>escarilla,302736</v>
      </c>
      <c r="I58" t="s">
        <v>14</v>
      </c>
    </row>
    <row r="59" spans="1:9" ht="15">
      <c r="A59" s="2">
        <v>56</v>
      </c>
      <c r="B59" s="8" t="s">
        <v>1684</v>
      </c>
      <c r="C59" s="26" t="s">
        <v>890</v>
      </c>
      <c r="D59" s="24" t="s">
        <v>1696</v>
      </c>
      <c r="E59" s="24" t="s">
        <v>268</v>
      </c>
      <c r="F59" s="27">
        <v>117558140038</v>
      </c>
      <c r="G59" s="7" t="str">
        <f t="shared" si="0"/>
        <v>117558140038@r6-1.deped.gov.ph</v>
      </c>
      <c r="H59" s="8" t="str">
        <f t="shared" si="2"/>
        <v>fuentespina,302736</v>
      </c>
      <c r="I59" t="s">
        <v>14</v>
      </c>
    </row>
    <row r="60" spans="1:9" ht="15">
      <c r="A60" s="2">
        <v>57</v>
      </c>
      <c r="B60" s="8" t="s">
        <v>1684</v>
      </c>
      <c r="C60" s="26" t="s">
        <v>1697</v>
      </c>
      <c r="D60" s="24" t="s">
        <v>1698</v>
      </c>
      <c r="E60" s="24" t="s">
        <v>242</v>
      </c>
      <c r="F60" s="27">
        <v>117545150017</v>
      </c>
      <c r="G60" s="7" t="str">
        <f t="shared" si="0"/>
        <v>117545150017@r6-1.deped.gov.ph</v>
      </c>
      <c r="H60" s="8" t="str">
        <f t="shared" si="2"/>
        <v>guanzon,302736</v>
      </c>
      <c r="I60" t="s">
        <v>14</v>
      </c>
    </row>
    <row r="61" spans="1:9" ht="15">
      <c r="A61" s="2">
        <v>58</v>
      </c>
      <c r="B61" s="8" t="s">
        <v>1684</v>
      </c>
      <c r="C61" s="26" t="s">
        <v>1699</v>
      </c>
      <c r="D61" s="24" t="s">
        <v>1700</v>
      </c>
      <c r="E61" s="24" t="s">
        <v>255</v>
      </c>
      <c r="F61" s="27">
        <v>117558150031</v>
      </c>
      <c r="G61" s="7" t="str">
        <f t="shared" si="0"/>
        <v>117558150031@r6-1.deped.gov.ph</v>
      </c>
      <c r="H61" s="8" t="str">
        <f t="shared" si="2"/>
        <v>lagdamen,302736</v>
      </c>
      <c r="I61" t="s">
        <v>14</v>
      </c>
    </row>
    <row r="62" spans="1:9" ht="15">
      <c r="A62" s="2">
        <v>59</v>
      </c>
      <c r="B62" s="8" t="s">
        <v>1684</v>
      </c>
      <c r="C62" s="26" t="s">
        <v>1701</v>
      </c>
      <c r="D62" s="24" t="s">
        <v>1702</v>
      </c>
      <c r="E62" s="24" t="s">
        <v>320</v>
      </c>
      <c r="F62" s="27">
        <v>117558130061</v>
      </c>
      <c r="G62" s="7" t="str">
        <f t="shared" si="0"/>
        <v>117558130061@r6-1.deped.gov.ph</v>
      </c>
      <c r="H62" s="8" t="str">
        <f t="shared" si="2"/>
        <v>lu-ang,302736</v>
      </c>
      <c r="I62" t="s">
        <v>14</v>
      </c>
    </row>
    <row r="63" spans="1:9" ht="15">
      <c r="A63" s="2">
        <v>60</v>
      </c>
      <c r="B63" s="8" t="s">
        <v>1684</v>
      </c>
      <c r="C63" s="26" t="s">
        <v>1703</v>
      </c>
      <c r="D63" s="24" t="s">
        <v>1704</v>
      </c>
      <c r="E63" s="24" t="s">
        <v>252</v>
      </c>
      <c r="F63" s="27">
        <v>117535120016</v>
      </c>
      <c r="G63" s="7" t="str">
        <f t="shared" si="0"/>
        <v>117535120016@r6-1.deped.gov.ph</v>
      </c>
      <c r="H63" s="8" t="str">
        <f t="shared" si="2"/>
        <v>misal,302736</v>
      </c>
      <c r="I63" t="s">
        <v>14</v>
      </c>
    </row>
    <row r="64" spans="1:9" ht="15">
      <c r="A64" s="2">
        <v>61</v>
      </c>
      <c r="B64" s="8" t="s">
        <v>1684</v>
      </c>
      <c r="C64" s="26" t="s">
        <v>1705</v>
      </c>
      <c r="D64" s="24" t="s">
        <v>1706</v>
      </c>
      <c r="E64" s="24" t="s">
        <v>239</v>
      </c>
      <c r="F64" s="27">
        <v>117558140071</v>
      </c>
      <c r="G64" s="7" t="str">
        <f t="shared" si="0"/>
        <v>117558140071@r6-1.deped.gov.ph</v>
      </c>
      <c r="H64" s="8" t="str">
        <f t="shared" si="2"/>
        <v>morillo,302736</v>
      </c>
      <c r="I64" t="s">
        <v>14</v>
      </c>
    </row>
    <row r="65" spans="1:9" ht="15">
      <c r="A65" s="2">
        <v>62</v>
      </c>
      <c r="B65" s="8" t="s">
        <v>1684</v>
      </c>
      <c r="C65" s="26" t="s">
        <v>514</v>
      </c>
      <c r="D65" s="24" t="s">
        <v>1707</v>
      </c>
      <c r="E65" s="24" t="s">
        <v>1708</v>
      </c>
      <c r="F65" s="27">
        <v>117509150132</v>
      </c>
      <c r="G65" s="7" t="str">
        <f t="shared" si="0"/>
        <v>117509150132@r6-1.deped.gov.ph</v>
      </c>
      <c r="H65" s="8" t="str">
        <f t="shared" si="2"/>
        <v>patricio,302736</v>
      </c>
      <c r="I65" t="s">
        <v>14</v>
      </c>
    </row>
    <row r="66" spans="1:9" ht="15">
      <c r="A66" s="2">
        <v>63</v>
      </c>
      <c r="B66" s="8" t="s">
        <v>1684</v>
      </c>
      <c r="C66" s="26" t="s">
        <v>1709</v>
      </c>
      <c r="D66" s="24" t="s">
        <v>1710</v>
      </c>
      <c r="E66" s="24" t="s">
        <v>281</v>
      </c>
      <c r="F66" s="27">
        <v>104927150046</v>
      </c>
      <c r="G66" s="7" t="str">
        <f t="shared" si="0"/>
        <v>104927150046@r6-1.deped.gov.ph</v>
      </c>
      <c r="H66" s="8" t="str">
        <f t="shared" si="2"/>
        <v>quiriones,302736</v>
      </c>
      <c r="I66" t="s">
        <v>14</v>
      </c>
    </row>
    <row r="67" spans="1:9" ht="15">
      <c r="A67" s="2">
        <v>64</v>
      </c>
      <c r="B67" s="8" t="s">
        <v>1684</v>
      </c>
      <c r="C67" s="26" t="s">
        <v>1711</v>
      </c>
      <c r="D67" s="24" t="s">
        <v>1712</v>
      </c>
      <c r="E67" s="24" t="s">
        <v>1713</v>
      </c>
      <c r="F67" s="27">
        <v>117558160059</v>
      </c>
      <c r="G67" s="7" t="str">
        <f t="shared" si="0"/>
        <v>117558160059@r6-1.deped.gov.ph</v>
      </c>
      <c r="H67" s="8" t="str">
        <f t="shared" si="2"/>
        <v>sacayan,302736</v>
      </c>
      <c r="I67" t="s">
        <v>14</v>
      </c>
    </row>
    <row r="68" spans="1:9" ht="15">
      <c r="A68" s="2">
        <v>65</v>
      </c>
      <c r="B68" s="8" t="s">
        <v>1684</v>
      </c>
      <c r="C68" s="26" t="s">
        <v>1714</v>
      </c>
      <c r="D68" s="24" t="s">
        <v>1715</v>
      </c>
      <c r="E68" s="24" t="s">
        <v>231</v>
      </c>
      <c r="F68" s="27">
        <v>117729150016</v>
      </c>
      <c r="G68" s="7" t="str">
        <f t="shared" si="0"/>
        <v>117729150016@r6-1.deped.gov.ph</v>
      </c>
      <c r="H68" s="8" t="str">
        <f t="shared" si="2"/>
        <v>soberano,302736</v>
      </c>
      <c r="I68" t="s">
        <v>14</v>
      </c>
    </row>
    <row r="69" spans="1:9" ht="15">
      <c r="A69" s="2">
        <v>66</v>
      </c>
      <c r="B69" s="8" t="s">
        <v>1684</v>
      </c>
      <c r="C69" s="26" t="s">
        <v>545</v>
      </c>
      <c r="D69" s="24" t="s">
        <v>1716</v>
      </c>
      <c r="E69" s="24" t="s">
        <v>294</v>
      </c>
      <c r="F69" s="27">
        <v>116922160054</v>
      </c>
      <c r="G69" s="7" t="str">
        <f t="shared" si="0"/>
        <v>116922160054@r6-1.deped.gov.ph</v>
      </c>
      <c r="H69" s="8" t="str">
        <f t="shared" si="2"/>
        <v>vergara,302736</v>
      </c>
      <c r="I69" t="s">
        <v>14</v>
      </c>
    </row>
    <row r="70" spans="1:9" ht="15">
      <c r="A70" s="2">
        <v>67</v>
      </c>
      <c r="B70" s="8" t="s">
        <v>1684</v>
      </c>
      <c r="C70" s="26" t="s">
        <v>403</v>
      </c>
      <c r="D70" s="24" t="s">
        <v>1717</v>
      </c>
      <c r="E70" s="24" t="s">
        <v>263</v>
      </c>
      <c r="F70" s="27">
        <v>117558150069</v>
      </c>
      <c r="G70" s="7" t="str">
        <f t="shared" si="0"/>
        <v>117558150069@r6-1.deped.gov.ph</v>
      </c>
      <c r="H70" s="8" t="str">
        <f t="shared" si="2"/>
        <v>villanueva,302736</v>
      </c>
      <c r="I70" t="s">
        <v>14</v>
      </c>
    </row>
    <row r="71" spans="1:9" ht="15">
      <c r="A71" s="2">
        <v>68</v>
      </c>
      <c r="B71" s="8" t="s">
        <v>1684</v>
      </c>
      <c r="C71" s="26" t="s">
        <v>1718</v>
      </c>
      <c r="D71" s="24" t="s">
        <v>88</v>
      </c>
      <c r="E71" s="24" t="s">
        <v>252</v>
      </c>
      <c r="F71" s="27">
        <v>117558150035</v>
      </c>
      <c r="G71" s="7" t="str">
        <f t="shared" si="0"/>
        <v>117558150035@r6-1.deped.gov.ph</v>
      </c>
      <c r="H71" s="8" t="str">
        <f t="shared" si="2"/>
        <v>alerta,302736</v>
      </c>
      <c r="I71" t="s">
        <v>14</v>
      </c>
    </row>
    <row r="72" spans="1:9" ht="15">
      <c r="A72" s="2">
        <v>69</v>
      </c>
      <c r="B72" s="8" t="s">
        <v>1684</v>
      </c>
      <c r="C72" s="26" t="s">
        <v>1718</v>
      </c>
      <c r="D72" s="24" t="s">
        <v>306</v>
      </c>
      <c r="E72" s="24" t="s">
        <v>311</v>
      </c>
      <c r="F72" s="27">
        <v>117558150071</v>
      </c>
      <c r="G72" s="7" t="str">
        <f t="shared" si="0"/>
        <v>117558150071@r6-1.deped.gov.ph</v>
      </c>
      <c r="H72" s="8" t="str">
        <f t="shared" si="2"/>
        <v>alerta,302736</v>
      </c>
      <c r="I72" t="s">
        <v>14</v>
      </c>
    </row>
    <row r="73" spans="1:9" ht="15">
      <c r="A73" s="2">
        <v>70</v>
      </c>
      <c r="B73" s="8" t="s">
        <v>1684</v>
      </c>
      <c r="C73" s="26" t="s">
        <v>1719</v>
      </c>
      <c r="D73" s="24" t="s">
        <v>1720</v>
      </c>
      <c r="E73" s="24" t="s">
        <v>242</v>
      </c>
      <c r="F73" s="27">
        <v>117558150073</v>
      </c>
      <c r="G73" s="7" t="str">
        <f t="shared" si="0"/>
        <v>117558150073@r6-1.deped.gov.ph</v>
      </c>
      <c r="H73" s="8" t="str">
        <f t="shared" si="2"/>
        <v>alpitche,302736</v>
      </c>
      <c r="I73" t="s">
        <v>14</v>
      </c>
    </row>
    <row r="74" spans="1:9" ht="15">
      <c r="A74" s="2">
        <v>71</v>
      </c>
      <c r="B74" s="8" t="s">
        <v>1684</v>
      </c>
      <c r="C74" s="26" t="s">
        <v>1721</v>
      </c>
      <c r="D74" s="24" t="s">
        <v>1722</v>
      </c>
      <c r="E74" s="24" t="s">
        <v>95</v>
      </c>
      <c r="F74" s="27">
        <v>117534150014</v>
      </c>
      <c r="G74" s="7" t="str">
        <f t="shared" si="0"/>
        <v>117534150014@r6-1.deped.gov.ph</v>
      </c>
      <c r="H74" s="8" t="str">
        <f t="shared" si="2"/>
        <v>badie,302736</v>
      </c>
      <c r="I74" t="s">
        <v>14</v>
      </c>
    </row>
    <row r="75" spans="1:9" ht="15">
      <c r="A75" s="2">
        <v>72</v>
      </c>
      <c r="B75" s="8" t="s">
        <v>1684</v>
      </c>
      <c r="C75" s="26" t="s">
        <v>1723</v>
      </c>
      <c r="D75" s="24" t="s">
        <v>214</v>
      </c>
      <c r="E75" s="24" t="s">
        <v>294</v>
      </c>
      <c r="F75" s="27">
        <v>117558150038</v>
      </c>
      <c r="G75" s="7" t="str">
        <f t="shared" si="0"/>
        <v>117558150038@r6-1.deped.gov.ph</v>
      </c>
      <c r="H75" s="8" t="str">
        <f t="shared" si="2"/>
        <v>buenaobra,302736</v>
      </c>
      <c r="I75" t="s">
        <v>14</v>
      </c>
    </row>
    <row r="76" spans="1:9" ht="15">
      <c r="A76" s="2">
        <v>73</v>
      </c>
      <c r="B76" s="8" t="s">
        <v>1684</v>
      </c>
      <c r="C76" s="26" t="s">
        <v>1689</v>
      </c>
      <c r="D76" s="24" t="s">
        <v>1724</v>
      </c>
      <c r="E76" s="24" t="s">
        <v>257</v>
      </c>
      <c r="F76" s="27">
        <v>117558150075</v>
      </c>
      <c r="G76" s="7" t="str">
        <f t="shared" si="0"/>
        <v>117558150075@r6-1.deped.gov.ph</v>
      </c>
      <c r="H76" s="8" t="str">
        <f t="shared" si="2"/>
        <v>cañas,302736</v>
      </c>
      <c r="I76" t="s">
        <v>14</v>
      </c>
    </row>
    <row r="77" spans="1:9" ht="15">
      <c r="A77" s="2">
        <v>74</v>
      </c>
      <c r="B77" s="8" t="s">
        <v>1684</v>
      </c>
      <c r="C77" s="26" t="s">
        <v>1725</v>
      </c>
      <c r="D77" s="24" t="s">
        <v>1726</v>
      </c>
      <c r="E77" s="24" t="s">
        <v>231</v>
      </c>
      <c r="F77" s="27">
        <v>117558150040</v>
      </c>
      <c r="G77" s="7" t="str">
        <f t="shared" si="0"/>
        <v>117558150040@r6-1.deped.gov.ph</v>
      </c>
      <c r="H77" s="8" t="str">
        <f t="shared" si="2"/>
        <v>doque,302736</v>
      </c>
      <c r="I77" t="s">
        <v>14</v>
      </c>
    </row>
    <row r="78" spans="1:9" ht="15">
      <c r="A78" s="2">
        <v>75</v>
      </c>
      <c r="B78" s="8" t="s">
        <v>1684</v>
      </c>
      <c r="C78" s="26" t="s">
        <v>1727</v>
      </c>
      <c r="D78" s="24" t="s">
        <v>1728</v>
      </c>
      <c r="E78" s="24" t="s">
        <v>260</v>
      </c>
      <c r="F78" s="27">
        <v>117050140064</v>
      </c>
      <c r="G78" s="7" t="str">
        <f t="shared" si="0"/>
        <v>117050140064@r6-1.deped.gov.ph</v>
      </c>
      <c r="H78" s="8" t="str">
        <f t="shared" si="2"/>
        <v>estimado,302736</v>
      </c>
      <c r="I78" t="s">
        <v>14</v>
      </c>
    </row>
    <row r="79" spans="1:9" ht="15">
      <c r="A79" s="2">
        <v>76</v>
      </c>
      <c r="B79" s="8" t="s">
        <v>1684</v>
      </c>
      <c r="C79" s="26" t="s">
        <v>1729</v>
      </c>
      <c r="D79" s="24" t="s">
        <v>1730</v>
      </c>
      <c r="E79" s="24" t="s">
        <v>242</v>
      </c>
      <c r="F79" s="27">
        <v>117545150014</v>
      </c>
      <c r="G79" s="7" t="str">
        <f t="shared" si="0"/>
        <v>117545150014@r6-1.deped.gov.ph</v>
      </c>
      <c r="H79" s="8" t="str">
        <f t="shared" si="2"/>
        <v>fegueroa,302736</v>
      </c>
      <c r="I79" t="s">
        <v>14</v>
      </c>
    </row>
    <row r="80" spans="1:9" ht="15">
      <c r="A80" s="2">
        <v>77</v>
      </c>
      <c r="B80" s="8" t="s">
        <v>1684</v>
      </c>
      <c r="C80" s="26" t="s">
        <v>1731</v>
      </c>
      <c r="D80" s="24" t="s">
        <v>745</v>
      </c>
      <c r="E80" s="24" t="s">
        <v>294</v>
      </c>
      <c r="F80" s="27">
        <v>117545150011</v>
      </c>
      <c r="G80" s="7" t="str">
        <f t="shared" si="0"/>
        <v>117545150011@r6-1.deped.gov.ph</v>
      </c>
      <c r="H80" s="8" t="str">
        <f t="shared" si="2"/>
        <v>figueroa,302736</v>
      </c>
      <c r="I80" t="s">
        <v>14</v>
      </c>
    </row>
    <row r="81" spans="1:9" ht="15">
      <c r="A81" s="2">
        <v>78</v>
      </c>
      <c r="B81" s="8" t="s">
        <v>1684</v>
      </c>
      <c r="C81" s="26" t="s">
        <v>1732</v>
      </c>
      <c r="D81" s="24" t="s">
        <v>647</v>
      </c>
      <c r="E81" s="24" t="s">
        <v>252</v>
      </c>
      <c r="F81" s="27">
        <v>117569150017</v>
      </c>
      <c r="G81" s="7" t="str">
        <f t="shared" si="0"/>
        <v>117569150017@r6-1.deped.gov.ph</v>
      </c>
      <c r="H81" s="8" t="str">
        <f t="shared" si="2"/>
        <v>gumape,302736</v>
      </c>
      <c r="I81" t="s">
        <v>14</v>
      </c>
    </row>
    <row r="82" spans="1:9" ht="15">
      <c r="A82" s="2">
        <v>79</v>
      </c>
      <c r="B82" s="8" t="s">
        <v>1684</v>
      </c>
      <c r="C82" s="26" t="s">
        <v>1733</v>
      </c>
      <c r="D82" s="24" t="s">
        <v>1734</v>
      </c>
      <c r="E82" s="24" t="s">
        <v>268</v>
      </c>
      <c r="F82" s="27">
        <v>117558150080</v>
      </c>
      <c r="G82" s="7" t="str">
        <f t="shared" si="0"/>
        <v>117558150080@r6-1.deped.gov.ph</v>
      </c>
      <c r="H82" s="8" t="str">
        <f t="shared" si="2"/>
        <v>logatiman,302736</v>
      </c>
      <c r="I82" t="s">
        <v>14</v>
      </c>
    </row>
    <row r="83" spans="1:9" ht="15">
      <c r="A83" s="2">
        <v>80</v>
      </c>
      <c r="B83" s="8" t="s">
        <v>1684</v>
      </c>
      <c r="C83" s="26" t="s">
        <v>1077</v>
      </c>
      <c r="D83" s="24" t="s">
        <v>1735</v>
      </c>
      <c r="E83" s="24" t="s">
        <v>239</v>
      </c>
      <c r="F83" s="27">
        <v>117530150022</v>
      </c>
      <c r="G83" s="7" t="str">
        <f t="shared" si="0"/>
        <v>117530150022@r6-1.deped.gov.ph</v>
      </c>
      <c r="H83" s="8" t="str">
        <f t="shared" si="2"/>
        <v>malinao,302736</v>
      </c>
      <c r="I83" t="s">
        <v>14</v>
      </c>
    </row>
    <row r="84" spans="1:9" ht="15">
      <c r="A84" s="2">
        <v>81</v>
      </c>
      <c r="B84" s="8" t="s">
        <v>1684</v>
      </c>
      <c r="C84" s="26" t="s">
        <v>1736</v>
      </c>
      <c r="D84" s="24" t="s">
        <v>1737</v>
      </c>
      <c r="E84" s="24" t="s">
        <v>231</v>
      </c>
      <c r="F84" s="27">
        <v>117558150084</v>
      </c>
      <c r="G84" s="7" t="str">
        <f t="shared" si="0"/>
        <v>117558150084@r6-1.deped.gov.ph</v>
      </c>
      <c r="H84" s="8" t="str">
        <f t="shared" si="2"/>
        <v>murriera,302736</v>
      </c>
      <c r="I84" t="s">
        <v>14</v>
      </c>
    </row>
    <row r="85" spans="1:9" ht="15">
      <c r="A85" s="2">
        <v>82</v>
      </c>
      <c r="B85" s="8" t="s">
        <v>1684</v>
      </c>
      <c r="C85" s="26" t="s">
        <v>1738</v>
      </c>
      <c r="D85" s="24" t="s">
        <v>1739</v>
      </c>
      <c r="E85" s="24" t="s">
        <v>239</v>
      </c>
      <c r="F85" s="27">
        <v>117558140081</v>
      </c>
      <c r="G85" s="7" t="str">
        <f t="shared" si="0"/>
        <v>117558140081@r6-1.deped.gov.ph</v>
      </c>
      <c r="H85" s="8" t="str">
        <f t="shared" si="2"/>
        <v>palmares,302736</v>
      </c>
      <c r="I85" t="s">
        <v>14</v>
      </c>
    </row>
    <row r="86" spans="1:9" ht="15">
      <c r="A86" s="2">
        <v>83</v>
      </c>
      <c r="B86" s="8" t="s">
        <v>1684</v>
      </c>
      <c r="C86" s="26" t="s">
        <v>1740</v>
      </c>
      <c r="D86" s="24" t="s">
        <v>1741</v>
      </c>
      <c r="E86" s="24" t="s">
        <v>294</v>
      </c>
      <c r="F86" s="27">
        <v>117558150045</v>
      </c>
      <c r="G86" s="7" t="str">
        <f t="shared" si="0"/>
        <v>117558150045@r6-1.deped.gov.ph</v>
      </c>
      <c r="H86" s="8" t="str">
        <f t="shared" si="2"/>
        <v>prudente,302736</v>
      </c>
      <c r="I86" t="s">
        <v>14</v>
      </c>
    </row>
    <row r="87" spans="1:9" ht="15">
      <c r="A87" s="2">
        <v>84</v>
      </c>
      <c r="B87" s="8" t="s">
        <v>1684</v>
      </c>
      <c r="C87" s="26" t="s">
        <v>1742</v>
      </c>
      <c r="D87" s="24" t="s">
        <v>1743</v>
      </c>
      <c r="E87" s="24" t="s">
        <v>239</v>
      </c>
      <c r="F87" s="27">
        <v>117558150046</v>
      </c>
      <c r="G87" s="7" t="str">
        <f t="shared" si="0"/>
        <v>117558150046@r6-1.deped.gov.ph</v>
      </c>
      <c r="H87" s="8" t="str">
        <f t="shared" si="2"/>
        <v>romo,302736</v>
      </c>
      <c r="I87" t="s">
        <v>14</v>
      </c>
    </row>
    <row r="88" spans="1:9" ht="15">
      <c r="A88" s="2">
        <v>85</v>
      </c>
      <c r="B88" s="8" t="s">
        <v>1684</v>
      </c>
      <c r="C88" s="26" t="s">
        <v>1744</v>
      </c>
      <c r="D88" s="24" t="s">
        <v>1745</v>
      </c>
      <c r="E88" s="24" t="s">
        <v>231</v>
      </c>
      <c r="F88" s="27">
        <v>117558160055</v>
      </c>
      <c r="G88" s="7" t="str">
        <f t="shared" si="0"/>
        <v>117558160055@r6-1.deped.gov.ph</v>
      </c>
      <c r="H88" s="8" t="str">
        <f t="shared" si="2"/>
        <v>secolles,302736</v>
      </c>
      <c r="I88" t="s">
        <v>14</v>
      </c>
    </row>
    <row r="89" spans="1:9" ht="15">
      <c r="A89" s="2">
        <v>86</v>
      </c>
      <c r="B89" s="8" t="s">
        <v>1684</v>
      </c>
      <c r="C89" s="26" t="s">
        <v>1744</v>
      </c>
      <c r="D89" s="24" t="s">
        <v>1746</v>
      </c>
      <c r="E89" s="24" t="s">
        <v>231</v>
      </c>
      <c r="F89" s="27">
        <v>117558160056</v>
      </c>
      <c r="G89" s="7" t="str">
        <f t="shared" si="0"/>
        <v>117558160056@r6-1.deped.gov.ph</v>
      </c>
      <c r="H89" s="8" t="str">
        <f t="shared" si="2"/>
        <v>secolles,302736</v>
      </c>
      <c r="I89" t="s">
        <v>14</v>
      </c>
    </row>
    <row r="90" spans="1:9" ht="15">
      <c r="A90" s="2">
        <v>87</v>
      </c>
      <c r="B90" s="8" t="s">
        <v>1684</v>
      </c>
      <c r="C90" s="26" t="s">
        <v>878</v>
      </c>
      <c r="D90" s="24" t="s">
        <v>1747</v>
      </c>
      <c r="E90" s="24" t="s">
        <v>245</v>
      </c>
      <c r="F90" s="27">
        <v>117716150121</v>
      </c>
      <c r="G90" s="7" t="str">
        <f t="shared" si="0"/>
        <v>117716150121@r6-1.deped.gov.ph</v>
      </c>
      <c r="H90" s="8" t="str">
        <f t="shared" si="2"/>
        <v>sison,302736</v>
      </c>
      <c r="I90" t="s">
        <v>14</v>
      </c>
    </row>
    <row r="91" spans="1:9" ht="15">
      <c r="A91" s="2">
        <v>88</v>
      </c>
      <c r="B91" s="8" t="s">
        <v>1684</v>
      </c>
      <c r="C91" s="26" t="s">
        <v>1748</v>
      </c>
      <c r="D91" s="24" t="s">
        <v>816</v>
      </c>
      <c r="E91" s="24" t="s">
        <v>252</v>
      </c>
      <c r="F91" s="27">
        <v>117558150050</v>
      </c>
      <c r="G91" s="7" t="str">
        <f t="shared" si="0"/>
        <v>117558150050@r6-1.deped.gov.ph</v>
      </c>
      <c r="H91" s="8" t="str">
        <f t="shared" si="2"/>
        <v>soronio,302736</v>
      </c>
      <c r="I91" t="s">
        <v>14</v>
      </c>
    </row>
    <row r="92" spans="1:9" ht="15">
      <c r="A92" s="2">
        <v>89</v>
      </c>
      <c r="B92" s="8" t="s">
        <v>1684</v>
      </c>
      <c r="C92" s="26" t="s">
        <v>1749</v>
      </c>
      <c r="D92" s="24" t="s">
        <v>1750</v>
      </c>
      <c r="E92" s="24" t="s">
        <v>245</v>
      </c>
      <c r="F92" s="27">
        <v>117716150123</v>
      </c>
      <c r="G92" s="7" t="str">
        <f t="shared" si="0"/>
        <v>117716150123@r6-1.deped.gov.ph</v>
      </c>
      <c r="H92" s="8" t="str">
        <f t="shared" si="2"/>
        <v>vasquez,302736</v>
      </c>
      <c r="I92" t="s">
        <v>14</v>
      </c>
    </row>
    <row r="93" spans="1:9" ht="15">
      <c r="A93" s="2">
        <v>90</v>
      </c>
      <c r="B93" s="8" t="s">
        <v>1684</v>
      </c>
      <c r="C93" s="26" t="s">
        <v>1751</v>
      </c>
      <c r="D93" s="24" t="s">
        <v>1752</v>
      </c>
      <c r="E93" s="24" t="s">
        <v>444</v>
      </c>
      <c r="F93" s="27">
        <v>117558150099</v>
      </c>
      <c r="G93" s="7" t="str">
        <f t="shared" si="0"/>
        <v>117558150099@r6-1.deped.gov.ph</v>
      </c>
      <c r="H93" s="8" t="str">
        <f t="shared" si="2"/>
        <v>ynion,302736</v>
      </c>
      <c r="I93" t="s">
        <v>14</v>
      </c>
    </row>
    <row r="94" spans="1:9" ht="14.25">
      <c r="A94" s="2">
        <v>91</v>
      </c>
      <c r="B94" s="7" t="s">
        <v>1753</v>
      </c>
      <c r="C94" s="7" t="s">
        <v>1754</v>
      </c>
      <c r="D94" s="7" t="s">
        <v>1755</v>
      </c>
      <c r="E94" s="8" t="s">
        <v>34</v>
      </c>
      <c r="F94" s="28">
        <v>117251140006</v>
      </c>
      <c r="G94" s="7" t="str">
        <f>IF(F94="","",F94&amp;"@r6-1.deped.gov.ph")</f>
        <v>117251140006@r6-1.deped.gov.ph</v>
      </c>
      <c r="H94" s="8" t="str">
        <f t="shared" si="2"/>
        <v>mahilum,302736</v>
      </c>
      <c r="I94" t="s">
        <v>46</v>
      </c>
    </row>
    <row r="95" spans="1:9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9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0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0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0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0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0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0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0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ref="G266:G503" si="3">IF(F266="","",F266&amp;"@r6-1.deped.gov.ph")</f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3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3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3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3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3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3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3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3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3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3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3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3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3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3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3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3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3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3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3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3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3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3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3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3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3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3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3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3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3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3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3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3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3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3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3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3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3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3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3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3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3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3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3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3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3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3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3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3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3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3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3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3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3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3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3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3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3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3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3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3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3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3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3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3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3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3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3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3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3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3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3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3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3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3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3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3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3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3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3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3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3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3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3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3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3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3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3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3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3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3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3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3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3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3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3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3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3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3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3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3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3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3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3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3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3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3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3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3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3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3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3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3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3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3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3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3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3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3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3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3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3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3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3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3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3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3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3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3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3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3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3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3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3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3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3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3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3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3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3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3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3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3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3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3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3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3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3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3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3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3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3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3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3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3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3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3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3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3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3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3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3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3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3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3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3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3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3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3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3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3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3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3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3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3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3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3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3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3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3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3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3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3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3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3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3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3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3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3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3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3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3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3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3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3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3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3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3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3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3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3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3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3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3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3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3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3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3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3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3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3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3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3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3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3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3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3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3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3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3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3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3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3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3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3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3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3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3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3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3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3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3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3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3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3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3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3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3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2"/>
  <sheetViews>
    <sheetView topLeftCell="B1" zoomScale="115" zoomScaleNormal="115" workbookViewId="0">
      <pane ySplit="3" topLeftCell="A106" activePane="bottomLeft" state="frozen"/>
      <selection pane="bottomLeft" activeCell="E117" sqref="E117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1756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1757</v>
      </c>
      <c r="C4" s="7" t="s">
        <v>1758</v>
      </c>
      <c r="D4" s="7" t="s">
        <v>1759</v>
      </c>
      <c r="E4" s="8" t="s">
        <v>268</v>
      </c>
      <c r="F4" s="8">
        <v>117553150003</v>
      </c>
      <c r="G4" s="7" t="str">
        <f>IF(F4="","",F4&amp;"@r6-1.deped.gov.ph")</f>
        <v>117553150003@r6-1.deped.gov.ph</v>
      </c>
      <c r="H4" s="8" t="str">
        <f>IF(C4="","",LOWER(TRIM(C4))&amp;",302731")</f>
        <v>alegre,302731</v>
      </c>
      <c r="I4" t="s">
        <v>14</v>
      </c>
    </row>
    <row r="5" spans="1:11" ht="12.75">
      <c r="A5" s="2">
        <v>2</v>
      </c>
      <c r="B5" s="7" t="s">
        <v>1757</v>
      </c>
      <c r="C5" s="7" t="s">
        <v>1760</v>
      </c>
      <c r="D5" s="7" t="s">
        <v>333</v>
      </c>
      <c r="E5" s="8" t="s">
        <v>252</v>
      </c>
      <c r="F5" s="8">
        <v>117564140002</v>
      </c>
      <c r="G5" s="7" t="str">
        <f>IF(F5="","",F5&amp;"@r6-1.deped.gov.ph")</f>
        <v>117564140002@r6-1.deped.gov.ph</v>
      </c>
      <c r="H5" s="8" t="str">
        <f>IF(C5="","",LOWER(TRIM(C5))&amp;",302731")</f>
        <v>auza,302731</v>
      </c>
      <c r="I5" t="s">
        <v>14</v>
      </c>
    </row>
    <row r="6" spans="1:11" ht="12.75">
      <c r="A6" s="2">
        <v>3</v>
      </c>
      <c r="B6" s="7" t="s">
        <v>1757</v>
      </c>
      <c r="C6" s="7" t="s">
        <v>1761</v>
      </c>
      <c r="D6" s="7" t="s">
        <v>1762</v>
      </c>
      <c r="E6" s="8" t="s">
        <v>263</v>
      </c>
      <c r="F6" s="8">
        <v>117553150004</v>
      </c>
      <c r="G6" s="7" t="str">
        <f>IF(F6="","",F6&amp;"@r6-1.deped.gov.ph")</f>
        <v>117553150004@r6-1.deped.gov.ph</v>
      </c>
      <c r="H6" s="8" t="str">
        <f>IF(C6="","",LOWER(TRIM(C6))&amp;",302731")</f>
        <v>barillos,302731</v>
      </c>
      <c r="I6" t="s">
        <v>14</v>
      </c>
    </row>
    <row r="7" spans="1:11" ht="12.75">
      <c r="A7" s="2">
        <v>4</v>
      </c>
      <c r="B7" s="7" t="s">
        <v>1757</v>
      </c>
      <c r="C7" s="7" t="s">
        <v>1763</v>
      </c>
      <c r="D7" s="7" t="s">
        <v>1764</v>
      </c>
      <c r="E7" s="8" t="s">
        <v>252</v>
      </c>
      <c r="F7" s="8">
        <v>117553150005</v>
      </c>
      <c r="G7" s="7" t="str">
        <f t="shared" ref="G7:G70" si="0">IF(F7="","",F7&amp;"@r6-1.deped.gov.ph")</f>
        <v>117553150005@r6-1.deped.gov.ph</v>
      </c>
      <c r="H7" s="8" t="str">
        <f>IF(C7="","",LOWER(TRIM(C7))&amp;",302731")</f>
        <v>binan,302731</v>
      </c>
      <c r="I7" t="s">
        <v>14</v>
      </c>
    </row>
    <row r="8" spans="1:11" ht="12.75">
      <c r="A8" s="2">
        <v>5</v>
      </c>
      <c r="B8" s="7" t="s">
        <v>1757</v>
      </c>
      <c r="C8" s="7" t="s">
        <v>136</v>
      </c>
      <c r="D8" s="7" t="s">
        <v>1765</v>
      </c>
      <c r="E8" s="8" t="s">
        <v>239</v>
      </c>
      <c r="F8" s="8">
        <v>117556140009</v>
      </c>
      <c r="G8" s="7" t="str">
        <f t="shared" si="0"/>
        <v>117556140009@r6-1.deped.gov.ph</v>
      </c>
      <c r="H8" s="8" t="str">
        <f t="shared" ref="H8:H39" si="1">IF(C8="","",LOWER(TRIM(C8))&amp;",302731")</f>
        <v>caballero,302731</v>
      </c>
      <c r="I8" t="s">
        <v>14</v>
      </c>
    </row>
    <row r="9" spans="1:11" ht="12.75">
      <c r="A9" s="2">
        <v>6</v>
      </c>
      <c r="B9" s="7" t="s">
        <v>1757</v>
      </c>
      <c r="C9" s="7" t="s">
        <v>1766</v>
      </c>
      <c r="D9" s="7" t="s">
        <v>168</v>
      </c>
      <c r="E9" s="8" t="s">
        <v>268</v>
      </c>
      <c r="F9" s="8">
        <v>117553150006</v>
      </c>
      <c r="G9" s="7" t="str">
        <f t="shared" si="0"/>
        <v>117553150006@r6-1.deped.gov.ph</v>
      </c>
      <c r="H9" s="8" t="str">
        <f t="shared" si="1"/>
        <v>cajurao,302731</v>
      </c>
      <c r="I9" t="s">
        <v>14</v>
      </c>
    </row>
    <row r="10" spans="1:11" ht="12.75">
      <c r="A10" s="2">
        <v>7</v>
      </c>
      <c r="B10" s="7" t="s">
        <v>1757</v>
      </c>
      <c r="C10" s="7" t="s">
        <v>375</v>
      </c>
      <c r="D10" s="7" t="s">
        <v>1759</v>
      </c>
      <c r="E10" s="8" t="s">
        <v>245</v>
      </c>
      <c r="F10" s="8">
        <v>117568150004</v>
      </c>
      <c r="G10" s="7" t="str">
        <f t="shared" si="0"/>
        <v>117568150004@r6-1.deped.gov.ph</v>
      </c>
      <c r="H10" s="8" t="str">
        <f t="shared" si="1"/>
        <v>cordero,302731</v>
      </c>
      <c r="I10" t="s">
        <v>14</v>
      </c>
    </row>
    <row r="11" spans="1:11" ht="12.75">
      <c r="A11" s="2">
        <v>8</v>
      </c>
      <c r="B11" s="7" t="s">
        <v>1757</v>
      </c>
      <c r="C11" s="7" t="s">
        <v>314</v>
      </c>
      <c r="D11" s="7" t="s">
        <v>1767</v>
      </c>
      <c r="E11" s="8" t="s">
        <v>268</v>
      </c>
      <c r="F11" s="8">
        <v>136891151137</v>
      </c>
      <c r="G11" s="7" t="str">
        <f t="shared" si="0"/>
        <v>136891151137@r6-1.deped.gov.ph</v>
      </c>
      <c r="H11" s="8" t="str">
        <f t="shared" si="1"/>
        <v>dela cruz,302731</v>
      </c>
      <c r="I11" t="s">
        <v>14</v>
      </c>
    </row>
    <row r="12" spans="1:11" ht="12.75">
      <c r="A12" s="2">
        <v>9</v>
      </c>
      <c r="B12" s="7" t="s">
        <v>1757</v>
      </c>
      <c r="C12" s="7" t="s">
        <v>803</v>
      </c>
      <c r="D12" s="7" t="s">
        <v>1768</v>
      </c>
      <c r="E12" s="8" t="s">
        <v>231</v>
      </c>
      <c r="F12" s="8">
        <v>117553150009</v>
      </c>
      <c r="G12" s="7" t="str">
        <f t="shared" si="0"/>
        <v>117553150009@r6-1.deped.gov.ph</v>
      </c>
      <c r="H12" s="8" t="str">
        <f t="shared" si="1"/>
        <v>jasmin,302731</v>
      </c>
      <c r="I12" t="s">
        <v>14</v>
      </c>
    </row>
    <row r="13" spans="1:11" ht="12.75">
      <c r="A13" s="2">
        <v>10</v>
      </c>
      <c r="B13" s="7" t="s">
        <v>1757</v>
      </c>
      <c r="C13" s="7" t="s">
        <v>1769</v>
      </c>
      <c r="D13" s="7" t="s">
        <v>1770</v>
      </c>
      <c r="E13" s="8" t="s">
        <v>252</v>
      </c>
      <c r="F13" s="8">
        <v>117547150006</v>
      </c>
      <c r="G13" s="7" t="str">
        <f t="shared" si="0"/>
        <v>117547150006@r6-1.deped.gov.ph</v>
      </c>
      <c r="H13" s="8" t="str">
        <f t="shared" si="1"/>
        <v>marcellano,302731</v>
      </c>
      <c r="I13" t="s">
        <v>14</v>
      </c>
    </row>
    <row r="14" spans="1:11" ht="12.75">
      <c r="A14" s="2">
        <v>11</v>
      </c>
      <c r="B14" s="7" t="s">
        <v>1757</v>
      </c>
      <c r="C14" s="7" t="s">
        <v>1771</v>
      </c>
      <c r="D14" s="7" t="s">
        <v>1772</v>
      </c>
      <c r="E14" s="8" t="s">
        <v>263</v>
      </c>
      <c r="F14" s="8">
        <v>117553150011</v>
      </c>
      <c r="G14" s="7" t="str">
        <f t="shared" si="0"/>
        <v>117553150011@r6-1.deped.gov.ph</v>
      </c>
      <c r="H14" s="8" t="str">
        <f t="shared" si="1"/>
        <v>oranza,302731</v>
      </c>
      <c r="I14" t="s">
        <v>14</v>
      </c>
    </row>
    <row r="15" spans="1:11" ht="12.75">
      <c r="A15" s="2">
        <v>12</v>
      </c>
      <c r="B15" s="7" t="s">
        <v>1757</v>
      </c>
      <c r="C15" s="7" t="s">
        <v>1773</v>
      </c>
      <c r="D15" s="7" t="s">
        <v>1774</v>
      </c>
      <c r="E15" s="8" t="s">
        <v>281</v>
      </c>
      <c r="F15" s="8">
        <v>117550150011</v>
      </c>
      <c r="G15" s="7" t="str">
        <f t="shared" si="0"/>
        <v>117550150011@r6-1.deped.gov.ph</v>
      </c>
      <c r="H15" s="8" t="str">
        <f t="shared" si="1"/>
        <v>regor,302731</v>
      </c>
      <c r="I15" t="s">
        <v>14</v>
      </c>
    </row>
    <row r="16" spans="1:11" ht="12.75">
      <c r="A16" s="2">
        <v>13</v>
      </c>
      <c r="B16" s="7" t="s">
        <v>1757</v>
      </c>
      <c r="C16" s="7" t="s">
        <v>349</v>
      </c>
      <c r="D16" s="7" t="s">
        <v>187</v>
      </c>
      <c r="E16" s="8" t="s">
        <v>231</v>
      </c>
      <c r="F16" s="8">
        <v>117564150006</v>
      </c>
      <c r="G16" s="7" t="str">
        <f t="shared" si="0"/>
        <v>117564150006@r6-1.deped.gov.ph</v>
      </c>
      <c r="H16" s="8" t="str">
        <f t="shared" si="1"/>
        <v>santillan,302731</v>
      </c>
      <c r="I16" t="s">
        <v>14</v>
      </c>
    </row>
    <row r="17" spans="1:9" ht="12.75">
      <c r="A17" s="2">
        <v>14</v>
      </c>
      <c r="B17" s="7" t="s">
        <v>1757</v>
      </c>
      <c r="C17" s="7" t="s">
        <v>1775</v>
      </c>
      <c r="D17" s="7" t="s">
        <v>1776</v>
      </c>
      <c r="E17" s="8" t="s">
        <v>309</v>
      </c>
      <c r="F17" s="8">
        <v>117553150016</v>
      </c>
      <c r="G17" s="7" t="str">
        <f t="shared" si="0"/>
        <v>117553150016@r6-1.deped.gov.ph</v>
      </c>
      <c r="H17" s="8" t="str">
        <f t="shared" si="1"/>
        <v>suhot,302731</v>
      </c>
      <c r="I17" t="s">
        <v>14</v>
      </c>
    </row>
    <row r="18" spans="1:9" ht="12.75">
      <c r="A18" s="2">
        <v>15</v>
      </c>
      <c r="B18" s="7" t="s">
        <v>1757</v>
      </c>
      <c r="C18" s="7" t="s">
        <v>1777</v>
      </c>
      <c r="D18" s="7" t="s">
        <v>1778</v>
      </c>
      <c r="E18" s="8" t="s">
        <v>239</v>
      </c>
      <c r="F18" s="8">
        <v>117018150019</v>
      </c>
      <c r="G18" s="7" t="str">
        <f t="shared" si="0"/>
        <v>117018150019@r6-1.deped.gov.ph</v>
      </c>
      <c r="H18" s="8" t="str">
        <f t="shared" si="1"/>
        <v>tipan,302731</v>
      </c>
      <c r="I18" t="s">
        <v>14</v>
      </c>
    </row>
    <row r="19" spans="1:9" ht="12.75">
      <c r="A19" s="2">
        <v>16</v>
      </c>
      <c r="B19" s="7" t="s">
        <v>1757</v>
      </c>
      <c r="C19" s="7" t="s">
        <v>1779</v>
      </c>
      <c r="D19" s="7" t="s">
        <v>1780</v>
      </c>
      <c r="E19" s="8" t="s">
        <v>252</v>
      </c>
      <c r="F19" s="8">
        <v>117547150004</v>
      </c>
      <c r="G19" s="7" t="str">
        <f t="shared" si="0"/>
        <v>117547150004@r6-1.deped.gov.ph</v>
      </c>
      <c r="H19" s="8" t="str">
        <f t="shared" si="1"/>
        <v>aballe,302731</v>
      </c>
      <c r="I19" t="s">
        <v>14</v>
      </c>
    </row>
    <row r="20" spans="1:9" ht="12.75">
      <c r="A20" s="2">
        <v>17</v>
      </c>
      <c r="B20" s="7" t="s">
        <v>1757</v>
      </c>
      <c r="C20" s="7" t="s">
        <v>1781</v>
      </c>
      <c r="D20" s="7" t="s">
        <v>1782</v>
      </c>
      <c r="E20" s="8" t="s">
        <v>252</v>
      </c>
      <c r="F20" s="8">
        <v>117553150018</v>
      </c>
      <c r="G20" s="7" t="str">
        <f t="shared" si="0"/>
        <v>117553150018@r6-1.deped.gov.ph</v>
      </c>
      <c r="H20" s="8" t="str">
        <f t="shared" si="1"/>
        <v>alatiit,302731</v>
      </c>
      <c r="I20" t="s">
        <v>14</v>
      </c>
    </row>
    <row r="21" spans="1:9" ht="12.75">
      <c r="A21" s="2">
        <v>18</v>
      </c>
      <c r="B21" s="7" t="s">
        <v>1757</v>
      </c>
      <c r="C21" s="7" t="s">
        <v>1783</v>
      </c>
      <c r="D21" s="7" t="s">
        <v>1784</v>
      </c>
      <c r="E21" s="8" t="s">
        <v>252</v>
      </c>
      <c r="F21" s="8">
        <v>117549150009</v>
      </c>
      <c r="G21" s="7" t="str">
        <f t="shared" si="0"/>
        <v>117549150009@r6-1.deped.gov.ph</v>
      </c>
      <c r="H21" s="8" t="str">
        <f t="shared" si="1"/>
        <v>alihed,302731</v>
      </c>
      <c r="I21" t="s">
        <v>14</v>
      </c>
    </row>
    <row r="22" spans="1:9" ht="12.75">
      <c r="A22" s="2">
        <v>19</v>
      </c>
      <c r="B22" s="7" t="s">
        <v>1757</v>
      </c>
      <c r="C22" s="7" t="s">
        <v>1785</v>
      </c>
      <c r="D22" s="7" t="s">
        <v>1786</v>
      </c>
      <c r="E22" s="8" t="s">
        <v>294</v>
      </c>
      <c r="F22" s="8">
        <v>119904150214</v>
      </c>
      <c r="G22" s="7" t="str">
        <f t="shared" si="0"/>
        <v>119904150214@r6-1.deped.gov.ph</v>
      </c>
      <c r="H22" s="8" t="str">
        <f t="shared" si="1"/>
        <v>bantiling,302731</v>
      </c>
      <c r="I22" t="s">
        <v>14</v>
      </c>
    </row>
    <row r="23" spans="1:9" ht="12.75">
      <c r="A23" s="2">
        <v>20</v>
      </c>
      <c r="B23" s="7" t="s">
        <v>1757</v>
      </c>
      <c r="C23" s="7" t="s">
        <v>1787</v>
      </c>
      <c r="D23" s="7" t="s">
        <v>1788</v>
      </c>
      <c r="E23" s="8" t="s">
        <v>252</v>
      </c>
      <c r="F23" s="8">
        <v>117797150040</v>
      </c>
      <c r="G23" s="7" t="str">
        <f t="shared" si="0"/>
        <v>117797150040@r6-1.deped.gov.ph</v>
      </c>
      <c r="H23" s="8" t="str">
        <f t="shared" si="1"/>
        <v>baroman,302731</v>
      </c>
      <c r="I23" t="s">
        <v>14</v>
      </c>
    </row>
    <row r="24" spans="1:9" ht="12.75">
      <c r="A24" s="2">
        <v>21</v>
      </c>
      <c r="B24" s="7" t="s">
        <v>1757</v>
      </c>
      <c r="C24" s="7" t="s">
        <v>1789</v>
      </c>
      <c r="D24" s="7" t="s">
        <v>1790</v>
      </c>
      <c r="E24" s="8" t="s">
        <v>242</v>
      </c>
      <c r="F24" s="8">
        <v>117553150074</v>
      </c>
      <c r="G24" s="7" t="str">
        <f t="shared" si="0"/>
        <v>117553150074@r6-1.deped.gov.ph</v>
      </c>
      <c r="H24" s="8" t="str">
        <f t="shared" si="1"/>
        <v>danoso,302731</v>
      </c>
      <c r="I24" t="s">
        <v>14</v>
      </c>
    </row>
    <row r="25" spans="1:9" ht="12.75">
      <c r="A25" s="2">
        <v>22</v>
      </c>
      <c r="B25" s="7" t="s">
        <v>1757</v>
      </c>
      <c r="C25" s="7" t="s">
        <v>314</v>
      </c>
      <c r="D25" s="7" t="s">
        <v>1791</v>
      </c>
      <c r="E25" s="8" t="s">
        <v>361</v>
      </c>
      <c r="F25" s="8">
        <v>117550150006</v>
      </c>
      <c r="G25" s="7" t="str">
        <f t="shared" si="0"/>
        <v>117550150006@r6-1.deped.gov.ph</v>
      </c>
      <c r="H25" s="8" t="str">
        <f t="shared" si="1"/>
        <v>dela cruz,302731</v>
      </c>
      <c r="I25" t="s">
        <v>14</v>
      </c>
    </row>
    <row r="26" spans="1:9" ht="12.75">
      <c r="A26" s="2">
        <v>23</v>
      </c>
      <c r="B26" s="7" t="s">
        <v>1757</v>
      </c>
      <c r="C26" s="7" t="s">
        <v>321</v>
      </c>
      <c r="D26" s="7" t="s">
        <v>1792</v>
      </c>
      <c r="E26" s="8" t="s">
        <v>268</v>
      </c>
      <c r="F26" s="8">
        <v>117553150041</v>
      </c>
      <c r="G26" s="7" t="str">
        <f t="shared" si="0"/>
        <v>117553150041@r6-1.deped.gov.ph</v>
      </c>
      <c r="H26" s="8" t="str">
        <f t="shared" si="1"/>
        <v>dela torre,302731</v>
      </c>
      <c r="I26" t="s">
        <v>14</v>
      </c>
    </row>
    <row r="27" spans="1:9" ht="12.75">
      <c r="A27" s="2">
        <v>24</v>
      </c>
      <c r="B27" s="7" t="s">
        <v>1757</v>
      </c>
      <c r="C27" s="7" t="s">
        <v>1793</v>
      </c>
      <c r="D27" s="7" t="s">
        <v>1794</v>
      </c>
      <c r="E27" s="8" t="s">
        <v>739</v>
      </c>
      <c r="F27" s="8">
        <v>117553150054</v>
      </c>
      <c r="G27" s="7" t="str">
        <f t="shared" si="0"/>
        <v>117553150054@r6-1.deped.gov.ph</v>
      </c>
      <c r="H27" s="8" t="str">
        <f t="shared" si="1"/>
        <v>gallosa,302731</v>
      </c>
      <c r="I27" t="s">
        <v>14</v>
      </c>
    </row>
    <row r="28" spans="1:9" ht="12.75">
      <c r="A28" s="2">
        <v>25</v>
      </c>
      <c r="B28" s="7" t="s">
        <v>1757</v>
      </c>
      <c r="C28" s="7" t="s">
        <v>1795</v>
      </c>
      <c r="D28" s="7" t="s">
        <v>1796</v>
      </c>
      <c r="E28" s="8" t="s">
        <v>239</v>
      </c>
      <c r="F28" s="8">
        <v>136534150307</v>
      </c>
      <c r="G28" s="7" t="str">
        <f t="shared" si="0"/>
        <v>136534150307@r6-1.deped.gov.ph</v>
      </c>
      <c r="H28" s="8" t="str">
        <f t="shared" si="1"/>
        <v>jamil,302731</v>
      </c>
      <c r="I28" t="s">
        <v>14</v>
      </c>
    </row>
    <row r="29" spans="1:9" ht="12.75">
      <c r="A29" s="2">
        <v>26</v>
      </c>
      <c r="B29" s="7" t="s">
        <v>1757</v>
      </c>
      <c r="C29" s="7" t="s">
        <v>1797</v>
      </c>
      <c r="D29" s="7" t="s">
        <v>1798</v>
      </c>
      <c r="E29" s="8" t="s">
        <v>239</v>
      </c>
      <c r="F29" s="8">
        <v>117553150064</v>
      </c>
      <c r="G29" s="7" t="str">
        <f t="shared" si="0"/>
        <v>117553150064@r6-1.deped.gov.ph</v>
      </c>
      <c r="H29" s="8" t="str">
        <f t="shared" si="1"/>
        <v>lamiz,302731</v>
      </c>
      <c r="I29" t="s">
        <v>14</v>
      </c>
    </row>
    <row r="30" spans="1:9" ht="12.75">
      <c r="A30" s="2">
        <v>27</v>
      </c>
      <c r="B30" s="7" t="s">
        <v>1757</v>
      </c>
      <c r="C30" s="7" t="s">
        <v>1799</v>
      </c>
      <c r="D30" s="7" t="s">
        <v>1800</v>
      </c>
      <c r="E30" s="8" t="s">
        <v>255</v>
      </c>
      <c r="F30" s="8">
        <v>117564150017</v>
      </c>
      <c r="G30" s="7" t="str">
        <f t="shared" si="0"/>
        <v>117564150017@r6-1.deped.gov.ph</v>
      </c>
      <c r="H30" s="8" t="str">
        <f t="shared" si="1"/>
        <v>medida,302731</v>
      </c>
      <c r="I30" t="s">
        <v>14</v>
      </c>
    </row>
    <row r="31" spans="1:9" ht="12.75">
      <c r="A31" s="2">
        <v>28</v>
      </c>
      <c r="B31" s="7" t="s">
        <v>1757</v>
      </c>
      <c r="C31" s="7" t="s">
        <v>1801</v>
      </c>
      <c r="D31" s="7" t="s">
        <v>1802</v>
      </c>
      <c r="E31" s="8" t="s">
        <v>231</v>
      </c>
      <c r="F31" s="8">
        <v>117550150010</v>
      </c>
      <c r="G31" s="7" t="str">
        <f t="shared" si="0"/>
        <v>117550150010@r6-1.deped.gov.ph</v>
      </c>
      <c r="H31" s="8" t="str">
        <f t="shared" si="1"/>
        <v>pacubas,302731</v>
      </c>
      <c r="I31" t="s">
        <v>14</v>
      </c>
    </row>
    <row r="32" spans="1:9" ht="12.75">
      <c r="A32" s="2">
        <v>29</v>
      </c>
      <c r="B32" s="7" t="s">
        <v>1757</v>
      </c>
      <c r="C32" s="7" t="s">
        <v>1803</v>
      </c>
      <c r="D32" s="7" t="s">
        <v>1804</v>
      </c>
      <c r="E32" s="8" t="s">
        <v>255</v>
      </c>
      <c r="F32" s="8">
        <v>117639150013</v>
      </c>
      <c r="G32" s="7" t="str">
        <f t="shared" si="0"/>
        <v>117639150013@r6-1.deped.gov.ph</v>
      </c>
      <c r="H32" s="8" t="str">
        <f t="shared" si="1"/>
        <v>residoro,302731</v>
      </c>
      <c r="I32" t="s">
        <v>14</v>
      </c>
    </row>
    <row r="33" spans="1:9" ht="12.75">
      <c r="A33" s="2">
        <v>30</v>
      </c>
      <c r="B33" s="7" t="s">
        <v>1757</v>
      </c>
      <c r="C33" s="7" t="s">
        <v>1805</v>
      </c>
      <c r="D33" s="7" t="s">
        <v>1806</v>
      </c>
      <c r="E33" s="8" t="s">
        <v>361</v>
      </c>
      <c r="F33" s="8">
        <v>117549150014</v>
      </c>
      <c r="G33" s="7" t="str">
        <f t="shared" si="0"/>
        <v>117549150014@r6-1.deped.gov.ph</v>
      </c>
      <c r="H33" s="8" t="str">
        <f t="shared" si="1"/>
        <v>sabacan,302731</v>
      </c>
      <c r="I33" t="s">
        <v>14</v>
      </c>
    </row>
    <row r="34" spans="1:9" ht="12.75">
      <c r="A34" s="2">
        <v>31</v>
      </c>
      <c r="B34" s="7" t="s">
        <v>1757</v>
      </c>
      <c r="C34" s="7" t="s">
        <v>1567</v>
      </c>
      <c r="D34" s="7" t="s">
        <v>1807</v>
      </c>
      <c r="E34" s="8" t="s">
        <v>294</v>
      </c>
      <c r="F34" s="8">
        <v>117553140055</v>
      </c>
      <c r="G34" s="7" t="str">
        <f t="shared" si="0"/>
        <v>117553140055@r6-1.deped.gov.ph</v>
      </c>
      <c r="H34" s="8" t="str">
        <f t="shared" si="1"/>
        <v>zamora,302731</v>
      </c>
      <c r="I34" t="s">
        <v>14</v>
      </c>
    </row>
    <row r="35" spans="1:9" ht="12.75">
      <c r="A35" s="2">
        <v>32</v>
      </c>
      <c r="B35" s="7" t="s">
        <v>1808</v>
      </c>
      <c r="C35" s="7" t="s">
        <v>232</v>
      </c>
      <c r="D35" s="7" t="s">
        <v>1809</v>
      </c>
      <c r="E35" s="8" t="s">
        <v>263</v>
      </c>
      <c r="F35" s="8">
        <v>117555150001</v>
      </c>
      <c r="G35" s="7" t="str">
        <f t="shared" si="0"/>
        <v>117555150001@r6-1.deped.gov.ph</v>
      </c>
      <c r="H35" s="8" t="str">
        <f t="shared" si="1"/>
        <v>abello,302731</v>
      </c>
      <c r="I35" t="s">
        <v>14</v>
      </c>
    </row>
    <row r="36" spans="1:9" ht="12.75">
      <c r="A36" s="2">
        <v>33</v>
      </c>
      <c r="B36" s="7" t="s">
        <v>1808</v>
      </c>
      <c r="C36" s="7" t="s">
        <v>240</v>
      </c>
      <c r="D36" s="7" t="s">
        <v>1810</v>
      </c>
      <c r="E36" s="8" t="s">
        <v>252</v>
      </c>
      <c r="F36" s="8">
        <v>117553140057</v>
      </c>
      <c r="G36" s="7" t="str">
        <f t="shared" si="0"/>
        <v>117553140057@r6-1.deped.gov.ph</v>
      </c>
      <c r="H36" s="8" t="str">
        <f t="shared" si="1"/>
        <v>bayon-on,302731</v>
      </c>
      <c r="I36" t="s">
        <v>14</v>
      </c>
    </row>
    <row r="37" spans="1:9" ht="12.75">
      <c r="A37" s="2">
        <v>34</v>
      </c>
      <c r="B37" s="7" t="s">
        <v>1808</v>
      </c>
      <c r="C37" s="7" t="s">
        <v>1087</v>
      </c>
      <c r="D37" s="7" t="s">
        <v>1811</v>
      </c>
      <c r="E37" s="8" t="s">
        <v>239</v>
      </c>
      <c r="F37" s="8">
        <v>117157150041</v>
      </c>
      <c r="G37" s="7" t="str">
        <f t="shared" si="0"/>
        <v>117157150041@r6-1.deped.gov.ph</v>
      </c>
      <c r="H37" s="8" t="str">
        <f t="shared" si="1"/>
        <v>britania,302731</v>
      </c>
      <c r="I37" t="s">
        <v>14</v>
      </c>
    </row>
    <row r="38" spans="1:9" ht="12.75">
      <c r="A38" s="2">
        <v>35</v>
      </c>
      <c r="B38" s="7" t="s">
        <v>1808</v>
      </c>
      <c r="C38" s="7" t="s">
        <v>1812</v>
      </c>
      <c r="D38" s="7" t="s">
        <v>1813</v>
      </c>
      <c r="E38" s="8" t="s">
        <v>263</v>
      </c>
      <c r="F38" s="8">
        <v>117553150029</v>
      </c>
      <c r="G38" s="7" t="str">
        <f t="shared" si="0"/>
        <v>117553150029@r6-1.deped.gov.ph</v>
      </c>
      <c r="H38" s="8" t="str">
        <f t="shared" si="1"/>
        <v>buenavista,302731</v>
      </c>
      <c r="I38" t="s">
        <v>14</v>
      </c>
    </row>
    <row r="39" spans="1:9" ht="12.75">
      <c r="A39" s="2">
        <v>36</v>
      </c>
      <c r="B39" s="7" t="s">
        <v>1808</v>
      </c>
      <c r="C39" s="7" t="s">
        <v>1814</v>
      </c>
      <c r="D39" s="7" t="s">
        <v>1815</v>
      </c>
      <c r="E39" s="8" t="s">
        <v>245</v>
      </c>
      <c r="F39" s="8">
        <v>117553140012</v>
      </c>
      <c r="G39" s="7" t="str">
        <f t="shared" si="0"/>
        <v>117553140012@r6-1.deped.gov.ph</v>
      </c>
      <c r="H39" s="8" t="str">
        <f t="shared" si="1"/>
        <v>clemenia,302731</v>
      </c>
      <c r="I39" t="s">
        <v>14</v>
      </c>
    </row>
    <row r="40" spans="1:9" ht="12.75">
      <c r="A40" s="2">
        <v>37</v>
      </c>
      <c r="B40" s="7" t="s">
        <v>1808</v>
      </c>
      <c r="C40" s="7" t="s">
        <v>314</v>
      </c>
      <c r="D40" s="7" t="s">
        <v>1816</v>
      </c>
      <c r="E40" s="8" t="s">
        <v>268</v>
      </c>
      <c r="F40" s="8">
        <v>117546150114</v>
      </c>
      <c r="G40" s="7" t="str">
        <f t="shared" si="0"/>
        <v>117546150114@r6-1.deped.gov.ph</v>
      </c>
      <c r="H40" s="8" t="str">
        <f t="shared" ref="H40:H67" si="2">IF(C40="","",LOWER(TRIM(C40))&amp;",302731")</f>
        <v>dela cruz,302731</v>
      </c>
      <c r="I40" t="s">
        <v>14</v>
      </c>
    </row>
    <row r="41" spans="1:9" ht="12.75">
      <c r="A41" s="2">
        <v>38</v>
      </c>
      <c r="B41" s="7" t="s">
        <v>1808</v>
      </c>
      <c r="C41" s="7" t="s">
        <v>1817</v>
      </c>
      <c r="D41" s="7" t="s">
        <v>1818</v>
      </c>
      <c r="E41" s="8" t="s">
        <v>263</v>
      </c>
      <c r="F41" s="8">
        <v>117553150068</v>
      </c>
      <c r="G41" s="7" t="str">
        <f t="shared" si="0"/>
        <v>117553150068@r6-1.deped.gov.ph</v>
      </c>
      <c r="H41" s="8" t="str">
        <f t="shared" si="2"/>
        <v>depatillo,302731</v>
      </c>
      <c r="I41" t="s">
        <v>14</v>
      </c>
    </row>
    <row r="42" spans="1:9" ht="12.75">
      <c r="A42" s="2">
        <v>39</v>
      </c>
      <c r="B42" s="7" t="s">
        <v>1808</v>
      </c>
      <c r="C42" s="7" t="s">
        <v>1819</v>
      </c>
      <c r="D42" s="7" t="s">
        <v>612</v>
      </c>
      <c r="E42" s="8" t="s">
        <v>252</v>
      </c>
      <c r="F42" s="8">
        <v>117568150026</v>
      </c>
      <c r="G42" s="7" t="str">
        <f t="shared" si="0"/>
        <v>117568150026@r6-1.deped.gov.ph</v>
      </c>
      <c r="H42" s="8" t="str">
        <f t="shared" si="2"/>
        <v>gamao,302731</v>
      </c>
      <c r="I42" t="s">
        <v>14</v>
      </c>
    </row>
    <row r="43" spans="1:9" ht="12.75">
      <c r="A43" s="2">
        <v>40</v>
      </c>
      <c r="B43" s="7" t="s">
        <v>1808</v>
      </c>
      <c r="C43" s="7" t="s">
        <v>1820</v>
      </c>
      <c r="D43" s="7" t="s">
        <v>1821</v>
      </c>
      <c r="E43" s="8" t="s">
        <v>294</v>
      </c>
      <c r="F43" s="8">
        <v>117549140015</v>
      </c>
      <c r="G43" s="7" t="str">
        <f t="shared" si="0"/>
        <v>117549140015@r6-1.deped.gov.ph</v>
      </c>
      <c r="H43" s="8" t="str">
        <f t="shared" si="2"/>
        <v>jongco,302731</v>
      </c>
      <c r="I43" t="s">
        <v>14</v>
      </c>
    </row>
    <row r="44" spans="1:9" ht="12.75">
      <c r="A44" s="2">
        <v>41</v>
      </c>
      <c r="B44" s="7" t="s">
        <v>1808</v>
      </c>
      <c r="C44" s="7" t="s">
        <v>1822</v>
      </c>
      <c r="D44" s="7" t="s">
        <v>41</v>
      </c>
      <c r="E44" s="8" t="s">
        <v>739</v>
      </c>
      <c r="F44" s="8">
        <v>117553150033</v>
      </c>
      <c r="G44" s="7" t="str">
        <f t="shared" si="0"/>
        <v>117553150033@r6-1.deped.gov.ph</v>
      </c>
      <c r="H44" s="8" t="str">
        <f t="shared" si="2"/>
        <v>naingue,302731</v>
      </c>
      <c r="I44" t="s">
        <v>14</v>
      </c>
    </row>
    <row r="45" spans="1:9" ht="12.75">
      <c r="A45" s="2">
        <v>42</v>
      </c>
      <c r="B45" s="7" t="s">
        <v>1808</v>
      </c>
      <c r="C45" s="7" t="s">
        <v>1823</v>
      </c>
      <c r="D45" s="7" t="s">
        <v>1824</v>
      </c>
      <c r="E45" s="8" t="s">
        <v>252</v>
      </c>
      <c r="F45" s="8">
        <v>119250160143</v>
      </c>
      <c r="G45" s="7" t="str">
        <f t="shared" si="0"/>
        <v>119250160143@r6-1.deped.gov.ph</v>
      </c>
      <c r="H45" s="8" t="str">
        <f t="shared" si="2"/>
        <v>ofianga,302731</v>
      </c>
      <c r="I45" t="s">
        <v>14</v>
      </c>
    </row>
    <row r="46" spans="1:9" ht="12.75">
      <c r="A46" s="2">
        <v>43</v>
      </c>
      <c r="B46" s="7" t="s">
        <v>1808</v>
      </c>
      <c r="C46" s="7" t="s">
        <v>1825</v>
      </c>
      <c r="D46" s="7" t="s">
        <v>1826</v>
      </c>
      <c r="E46" s="8" t="s">
        <v>260</v>
      </c>
      <c r="F46" s="8">
        <v>117553150013</v>
      </c>
      <c r="G46" s="7" t="str">
        <f t="shared" si="0"/>
        <v>117553150013@r6-1.deped.gov.ph</v>
      </c>
      <c r="H46" s="8" t="str">
        <f t="shared" si="2"/>
        <v>porras,302731</v>
      </c>
      <c r="I46" t="s">
        <v>14</v>
      </c>
    </row>
    <row r="47" spans="1:9" ht="12.75">
      <c r="A47" s="2">
        <v>44</v>
      </c>
      <c r="B47" s="7" t="s">
        <v>1808</v>
      </c>
      <c r="C47" s="7" t="s">
        <v>1827</v>
      </c>
      <c r="D47" s="7" t="s">
        <v>1828</v>
      </c>
      <c r="E47" s="8" t="s">
        <v>239</v>
      </c>
      <c r="F47" s="8">
        <v>117564150005</v>
      </c>
      <c r="G47" s="7" t="str">
        <f t="shared" si="0"/>
        <v>117564150005@r6-1.deped.gov.ph</v>
      </c>
      <c r="H47" s="8" t="str">
        <f t="shared" si="2"/>
        <v>puerto,302731</v>
      </c>
      <c r="I47" t="s">
        <v>14</v>
      </c>
    </row>
    <row r="48" spans="1:9" ht="12.75">
      <c r="A48" s="2">
        <v>45</v>
      </c>
      <c r="B48" s="7" t="s">
        <v>1808</v>
      </c>
      <c r="C48" s="7" t="s">
        <v>1829</v>
      </c>
      <c r="D48" s="7" t="s">
        <v>1830</v>
      </c>
      <c r="E48" s="8" t="s">
        <v>263</v>
      </c>
      <c r="F48" s="8">
        <v>136645150117</v>
      </c>
      <c r="G48" s="7" t="str">
        <f t="shared" si="0"/>
        <v>136645150117@r6-1.deped.gov.ph</v>
      </c>
      <c r="H48" s="8" t="str">
        <f t="shared" si="2"/>
        <v>samson,302731</v>
      </c>
      <c r="I48" t="s">
        <v>14</v>
      </c>
    </row>
    <row r="49" spans="1:9" ht="12.75">
      <c r="A49" s="2">
        <v>46</v>
      </c>
      <c r="B49" s="7" t="s">
        <v>1808</v>
      </c>
      <c r="C49" s="7" t="s">
        <v>1831</v>
      </c>
      <c r="D49" s="7" t="s">
        <v>1832</v>
      </c>
      <c r="E49" s="8" t="s">
        <v>294</v>
      </c>
      <c r="F49" s="8">
        <v>117553150036</v>
      </c>
      <c r="G49" s="7" t="str">
        <f t="shared" si="0"/>
        <v>117553150036@r6-1.deped.gov.ph</v>
      </c>
      <c r="H49" s="8" t="str">
        <f t="shared" si="2"/>
        <v>serraon,302731</v>
      </c>
      <c r="I49" t="s">
        <v>14</v>
      </c>
    </row>
    <row r="50" spans="1:9" ht="12.75">
      <c r="A50" s="2">
        <v>47</v>
      </c>
      <c r="B50" s="7" t="s">
        <v>1808</v>
      </c>
      <c r="C50" s="7" t="s">
        <v>1833</v>
      </c>
      <c r="D50" s="7" t="s">
        <v>1834</v>
      </c>
      <c r="E50" s="8" t="s">
        <v>260</v>
      </c>
      <c r="F50" s="8">
        <v>117553150070</v>
      </c>
      <c r="G50" s="7" t="str">
        <f t="shared" si="0"/>
        <v>117553150070@r6-1.deped.gov.ph</v>
      </c>
      <c r="H50" s="8" t="str">
        <f t="shared" si="2"/>
        <v>sugala,302731</v>
      </c>
      <c r="I50" t="s">
        <v>14</v>
      </c>
    </row>
    <row r="51" spans="1:9" ht="12.75">
      <c r="A51" s="2">
        <v>48</v>
      </c>
      <c r="B51" s="7" t="s">
        <v>1808</v>
      </c>
      <c r="C51" s="7" t="s">
        <v>1777</v>
      </c>
      <c r="D51" s="7" t="s">
        <v>441</v>
      </c>
      <c r="E51" s="8" t="s">
        <v>294</v>
      </c>
      <c r="F51" s="8">
        <v>117017150022</v>
      </c>
      <c r="G51" s="7" t="str">
        <f t="shared" si="0"/>
        <v>117017150022@r6-1.deped.gov.ph</v>
      </c>
      <c r="H51" s="8" t="str">
        <f t="shared" si="2"/>
        <v>tipan,302731</v>
      </c>
      <c r="I51" t="s">
        <v>14</v>
      </c>
    </row>
    <row r="52" spans="1:9" ht="12.75">
      <c r="A52" s="2">
        <v>49</v>
      </c>
      <c r="B52" s="7" t="s">
        <v>1808</v>
      </c>
      <c r="C52" s="7" t="s">
        <v>1835</v>
      </c>
      <c r="D52" s="7" t="s">
        <v>1836</v>
      </c>
      <c r="E52" s="8" t="s">
        <v>294</v>
      </c>
      <c r="F52" s="8">
        <v>117541150017</v>
      </c>
      <c r="G52" s="7" t="str">
        <f t="shared" si="0"/>
        <v>117541150017@r6-1.deped.gov.ph</v>
      </c>
      <c r="H52" s="8" t="str">
        <f t="shared" si="2"/>
        <v>barilea,302731</v>
      </c>
      <c r="I52" t="s">
        <v>14</v>
      </c>
    </row>
    <row r="53" spans="1:9" ht="12.75">
      <c r="A53" s="2">
        <v>50</v>
      </c>
      <c r="B53" s="7" t="s">
        <v>1808</v>
      </c>
      <c r="C53" s="7" t="s">
        <v>1837</v>
      </c>
      <c r="D53" s="7" t="s">
        <v>1838</v>
      </c>
      <c r="E53" s="8" t="s">
        <v>361</v>
      </c>
      <c r="F53" s="8">
        <v>117549150010</v>
      </c>
      <c r="G53" s="7" t="str">
        <f t="shared" si="0"/>
        <v>117549150010@r6-1.deped.gov.ph</v>
      </c>
      <c r="H53" s="8" t="str">
        <f t="shared" si="2"/>
        <v>belleones,302731</v>
      </c>
      <c r="I53" t="s">
        <v>14</v>
      </c>
    </row>
    <row r="54" spans="1:9" ht="12.75">
      <c r="A54" s="2">
        <v>51</v>
      </c>
      <c r="B54" s="7" t="s">
        <v>1808</v>
      </c>
      <c r="C54" s="7" t="s">
        <v>1839</v>
      </c>
      <c r="D54" s="7" t="s">
        <v>1840</v>
      </c>
      <c r="E54" s="8" t="s">
        <v>300</v>
      </c>
      <c r="F54" s="8">
        <v>117555150006</v>
      </c>
      <c r="G54" s="7" t="str">
        <f t="shared" si="0"/>
        <v>117555150006@r6-1.deped.gov.ph</v>
      </c>
      <c r="H54" s="8" t="str">
        <f t="shared" si="2"/>
        <v>bingcang,302731</v>
      </c>
      <c r="I54" t="s">
        <v>14</v>
      </c>
    </row>
    <row r="55" spans="1:9" ht="12.75">
      <c r="A55" s="2">
        <v>52</v>
      </c>
      <c r="B55" s="7" t="s">
        <v>1808</v>
      </c>
      <c r="C55" s="7" t="s">
        <v>1841</v>
      </c>
      <c r="D55" s="7" t="s">
        <v>1842</v>
      </c>
      <c r="E55" s="8" t="s">
        <v>239</v>
      </c>
      <c r="F55" s="8">
        <v>117561150162</v>
      </c>
      <c r="G55" s="7" t="str">
        <f t="shared" si="0"/>
        <v>117561150162@r6-1.deped.gov.ph</v>
      </c>
      <c r="H55" s="8" t="str">
        <f t="shared" si="2"/>
        <v>compuesto,302731</v>
      </c>
      <c r="I55" t="s">
        <v>14</v>
      </c>
    </row>
    <row r="56" spans="1:9" ht="12.75">
      <c r="A56" s="2">
        <v>53</v>
      </c>
      <c r="B56" s="7" t="s">
        <v>1808</v>
      </c>
      <c r="C56" s="7" t="s">
        <v>1843</v>
      </c>
      <c r="D56" s="7" t="s">
        <v>1844</v>
      </c>
      <c r="E56" s="8" t="s">
        <v>294</v>
      </c>
      <c r="F56" s="8">
        <v>117549130008</v>
      </c>
      <c r="G56" s="7" t="str">
        <f t="shared" si="0"/>
        <v>117549130008@r6-1.deped.gov.ph</v>
      </c>
      <c r="H56" s="8" t="str">
        <f t="shared" si="2"/>
        <v>de jose,302731</v>
      </c>
      <c r="I56" t="s">
        <v>14</v>
      </c>
    </row>
    <row r="57" spans="1:9" ht="12.75">
      <c r="A57" s="2">
        <v>54</v>
      </c>
      <c r="B57" s="7" t="s">
        <v>1808</v>
      </c>
      <c r="C57" s="7" t="s">
        <v>1845</v>
      </c>
      <c r="D57" s="7" t="s">
        <v>1846</v>
      </c>
      <c r="E57" s="8" t="s">
        <v>536</v>
      </c>
      <c r="F57" s="8">
        <v>117553150032</v>
      </c>
      <c r="G57" s="7" t="str">
        <f t="shared" si="0"/>
        <v>117553150032@r6-1.deped.gov.ph</v>
      </c>
      <c r="H57" s="8" t="s">
        <v>2629</v>
      </c>
      <c r="I57" t="s">
        <v>14</v>
      </c>
    </row>
    <row r="58" spans="1:9" ht="12.75">
      <c r="A58" s="2">
        <v>55</v>
      </c>
      <c r="B58" s="7" t="s">
        <v>1808</v>
      </c>
      <c r="C58" s="7" t="s">
        <v>109</v>
      </c>
      <c r="D58" s="7" t="s">
        <v>1847</v>
      </c>
      <c r="E58" s="8" t="s">
        <v>739</v>
      </c>
      <c r="F58" s="8">
        <v>106089140122</v>
      </c>
      <c r="G58" s="7" t="str">
        <f t="shared" si="0"/>
        <v>106089140122@r6-1.deped.gov.ph</v>
      </c>
      <c r="H58" s="8" t="str">
        <f t="shared" si="2"/>
        <v>legaspina,302731</v>
      </c>
      <c r="I58" t="s">
        <v>14</v>
      </c>
    </row>
    <row r="59" spans="1:9" ht="12.75">
      <c r="A59" s="2">
        <v>56</v>
      </c>
      <c r="B59" s="7" t="s">
        <v>1808</v>
      </c>
      <c r="C59" s="7" t="s">
        <v>1848</v>
      </c>
      <c r="D59" s="7" t="s">
        <v>1849</v>
      </c>
      <c r="E59" s="8" t="s">
        <v>242</v>
      </c>
      <c r="F59" s="8">
        <v>117421150014</v>
      </c>
      <c r="G59" s="7" t="str">
        <f t="shared" si="0"/>
        <v>117421150014@r6-1.deped.gov.ph</v>
      </c>
      <c r="H59" s="8" t="str">
        <f t="shared" si="2"/>
        <v>lunanon,302731</v>
      </c>
      <c r="I59" t="s">
        <v>14</v>
      </c>
    </row>
    <row r="60" spans="1:9" ht="12.75">
      <c r="A60" s="2">
        <v>57</v>
      </c>
      <c r="B60" s="7" t="s">
        <v>1808</v>
      </c>
      <c r="C60" s="7" t="s">
        <v>1850</v>
      </c>
      <c r="D60" s="7" t="s">
        <v>1851</v>
      </c>
      <c r="E60" s="8" t="s">
        <v>361</v>
      </c>
      <c r="F60" s="8">
        <v>117553150055</v>
      </c>
      <c r="G60" s="7" t="str">
        <f t="shared" si="0"/>
        <v>117553150055@r6-1.deped.gov.ph</v>
      </c>
      <c r="H60" s="8" t="str">
        <f t="shared" si="2"/>
        <v>olid,302731</v>
      </c>
      <c r="I60" t="s">
        <v>14</v>
      </c>
    </row>
    <row r="61" spans="1:9" ht="12.75">
      <c r="A61" s="2">
        <v>58</v>
      </c>
      <c r="B61" s="7" t="s">
        <v>1808</v>
      </c>
      <c r="C61" s="7" t="s">
        <v>1852</v>
      </c>
      <c r="D61" s="7" t="s">
        <v>1853</v>
      </c>
      <c r="E61" s="8" t="s">
        <v>257</v>
      </c>
      <c r="F61" s="8">
        <v>117553150002</v>
      </c>
      <c r="G61" s="7" t="str">
        <f t="shared" si="0"/>
        <v>117553150002@r6-1.deped.gov.ph</v>
      </c>
      <c r="H61" s="8" t="str">
        <f t="shared" si="2"/>
        <v>paclibar,302731</v>
      </c>
      <c r="I61" t="s">
        <v>14</v>
      </c>
    </row>
    <row r="62" spans="1:9" ht="12.75">
      <c r="A62" s="2">
        <v>59</v>
      </c>
      <c r="B62" s="7" t="s">
        <v>1808</v>
      </c>
      <c r="C62" s="7" t="s">
        <v>1854</v>
      </c>
      <c r="D62" s="7" t="s">
        <v>1855</v>
      </c>
      <c r="E62" s="8"/>
      <c r="F62" s="8">
        <v>117568160006</v>
      </c>
      <c r="G62" s="7" t="str">
        <f t="shared" si="0"/>
        <v>117568160006@r6-1.deped.gov.ph</v>
      </c>
      <c r="H62" s="8" t="str">
        <f t="shared" si="2"/>
        <v>pesaro,302731</v>
      </c>
      <c r="I62" t="s">
        <v>14</v>
      </c>
    </row>
    <row r="63" spans="1:9" ht="12.75">
      <c r="A63" s="2">
        <v>60</v>
      </c>
      <c r="B63" s="7" t="s">
        <v>1808</v>
      </c>
      <c r="C63" s="7" t="s">
        <v>1856</v>
      </c>
      <c r="D63" s="7" t="s">
        <v>1857</v>
      </c>
      <c r="E63" s="8" t="s">
        <v>255</v>
      </c>
      <c r="F63" s="8">
        <v>117568150021</v>
      </c>
      <c r="G63" s="7" t="str">
        <f t="shared" si="0"/>
        <v>117568150021@r6-1.deped.gov.ph</v>
      </c>
      <c r="H63" s="8" t="str">
        <f t="shared" si="2"/>
        <v>quijada,302731</v>
      </c>
      <c r="I63" t="s">
        <v>14</v>
      </c>
    </row>
    <row r="64" spans="1:9" ht="12.75">
      <c r="A64" s="2">
        <v>61</v>
      </c>
      <c r="B64" s="7" t="s">
        <v>1808</v>
      </c>
      <c r="C64" s="7" t="s">
        <v>1008</v>
      </c>
      <c r="D64" s="7" t="s">
        <v>1858</v>
      </c>
      <c r="E64" s="8" t="s">
        <v>294</v>
      </c>
      <c r="F64" s="8">
        <v>440570150055</v>
      </c>
      <c r="G64" s="7" t="str">
        <f t="shared" si="0"/>
        <v>440570150055@r6-1.deped.gov.ph</v>
      </c>
      <c r="H64" s="8" t="str">
        <f t="shared" si="2"/>
        <v>seballos,302731</v>
      </c>
      <c r="I64" t="s">
        <v>14</v>
      </c>
    </row>
    <row r="65" spans="1:9" ht="12.75">
      <c r="A65" s="2">
        <v>62</v>
      </c>
      <c r="B65" s="7" t="s">
        <v>1808</v>
      </c>
      <c r="C65" s="7" t="s">
        <v>1859</v>
      </c>
      <c r="D65" s="7" t="s">
        <v>1860</v>
      </c>
      <c r="E65" s="8" t="s">
        <v>231</v>
      </c>
      <c r="F65" s="8">
        <v>117568150022</v>
      </c>
      <c r="G65" s="7" t="str">
        <f t="shared" si="0"/>
        <v>117568150022@r6-1.deped.gov.ph</v>
      </c>
      <c r="H65" s="8" t="str">
        <f t="shared" si="2"/>
        <v>sequino,302731</v>
      </c>
      <c r="I65" t="s">
        <v>14</v>
      </c>
    </row>
    <row r="66" spans="1:9" ht="12.75">
      <c r="A66" s="2">
        <v>63</v>
      </c>
      <c r="B66" s="7" t="s">
        <v>1808</v>
      </c>
      <c r="C66" s="7" t="s">
        <v>1861</v>
      </c>
      <c r="D66" s="7" t="s">
        <v>696</v>
      </c>
      <c r="E66" s="8" t="s">
        <v>257</v>
      </c>
      <c r="F66" s="8">
        <v>117568150023</v>
      </c>
      <c r="G66" s="7" t="str">
        <f t="shared" si="0"/>
        <v>117568150023@r6-1.deped.gov.ph</v>
      </c>
      <c r="H66" s="8" t="str">
        <f t="shared" si="2"/>
        <v>sivilla,302731</v>
      </c>
      <c r="I66" t="s">
        <v>14</v>
      </c>
    </row>
    <row r="67" spans="1:9" ht="12.75">
      <c r="A67" s="2">
        <v>64</v>
      </c>
      <c r="B67" s="7" t="s">
        <v>1862</v>
      </c>
      <c r="C67" s="7" t="s">
        <v>1863</v>
      </c>
      <c r="D67" s="7" t="s">
        <v>1864</v>
      </c>
      <c r="E67" s="8" t="s">
        <v>242</v>
      </c>
      <c r="F67" s="8">
        <v>136453150467</v>
      </c>
      <c r="G67" s="7" t="str">
        <f t="shared" si="0"/>
        <v>136453150467@r6-1.deped.gov.ph</v>
      </c>
      <c r="H67" s="8" t="str">
        <f t="shared" si="2"/>
        <v>beto,302731</v>
      </c>
      <c r="I67" t="s">
        <v>46</v>
      </c>
    </row>
    <row r="68" spans="1:9" ht="12.75">
      <c r="A68" s="2">
        <v>65</v>
      </c>
      <c r="B68" s="7" t="s">
        <v>1862</v>
      </c>
      <c r="C68" s="7" t="s">
        <v>1865</v>
      </c>
      <c r="D68" s="7" t="s">
        <v>1866</v>
      </c>
      <c r="E68" s="8" t="s">
        <v>320</v>
      </c>
      <c r="F68" s="8">
        <v>117541140006</v>
      </c>
      <c r="G68" s="7" t="str">
        <f t="shared" si="0"/>
        <v>117541140006@r6-1.deped.gov.ph</v>
      </c>
      <c r="H68" s="8" t="str">
        <f t="shared" ref="H68:H111" si="3">IF(C68="","",LOWER(TRIM(C68))&amp;",302731")</f>
        <v>carano-o,302731</v>
      </c>
      <c r="I68" t="s">
        <v>14</v>
      </c>
    </row>
    <row r="69" spans="1:9" ht="12.75">
      <c r="A69" s="2">
        <v>66</v>
      </c>
      <c r="B69" s="7" t="s">
        <v>1862</v>
      </c>
      <c r="C69" s="7" t="s">
        <v>1817</v>
      </c>
      <c r="D69" s="7" t="s">
        <v>1867</v>
      </c>
      <c r="E69" s="8" t="s">
        <v>245</v>
      </c>
      <c r="F69" s="8">
        <v>117549120006</v>
      </c>
      <c r="G69" s="7" t="str">
        <f t="shared" si="0"/>
        <v>117549120006@r6-1.deped.gov.ph</v>
      </c>
      <c r="H69" s="8" t="str">
        <f t="shared" si="3"/>
        <v>depatillo,302731</v>
      </c>
      <c r="I69" t="s">
        <v>14</v>
      </c>
    </row>
    <row r="70" spans="1:9" ht="12.75">
      <c r="A70" s="2">
        <v>67</v>
      </c>
      <c r="B70" s="7" t="s">
        <v>1862</v>
      </c>
      <c r="C70" s="7" t="s">
        <v>1819</v>
      </c>
      <c r="D70" s="7" t="s">
        <v>1868</v>
      </c>
      <c r="E70" s="8" t="s">
        <v>239</v>
      </c>
      <c r="F70" s="8">
        <v>117549150004</v>
      </c>
      <c r="G70" s="7" t="str">
        <f t="shared" si="0"/>
        <v>117549150004@r6-1.deped.gov.ph</v>
      </c>
      <c r="H70" s="8" t="str">
        <f t="shared" si="3"/>
        <v>gamao,302731</v>
      </c>
      <c r="I70" t="s">
        <v>14</v>
      </c>
    </row>
    <row r="71" spans="1:9" ht="12.75">
      <c r="A71" s="2">
        <v>68</v>
      </c>
      <c r="B71" s="7" t="s">
        <v>1862</v>
      </c>
      <c r="C71" s="7" t="s">
        <v>1869</v>
      </c>
      <c r="D71" s="7" t="s">
        <v>1275</v>
      </c>
      <c r="E71" s="8" t="s">
        <v>294</v>
      </c>
      <c r="F71" s="8">
        <v>117568150006</v>
      </c>
      <c r="G71" s="7" t="str">
        <f t="shared" ref="G71:G134" si="4">IF(F71="","",F71&amp;"@r6-1.deped.gov.ph")</f>
        <v>117568150006@r6-1.deped.gov.ph</v>
      </c>
      <c r="H71" s="8" t="str">
        <f t="shared" si="3"/>
        <v>gamilla,302731</v>
      </c>
      <c r="I71" t="s">
        <v>14</v>
      </c>
    </row>
    <row r="72" spans="1:9" ht="12.75">
      <c r="A72" s="2">
        <v>69</v>
      </c>
      <c r="B72" s="7" t="s">
        <v>1862</v>
      </c>
      <c r="C72" s="7" t="s">
        <v>504</v>
      </c>
      <c r="D72" s="7" t="s">
        <v>1870</v>
      </c>
      <c r="E72" s="8" t="s">
        <v>268</v>
      </c>
      <c r="F72" s="8">
        <v>117568150008</v>
      </c>
      <c r="G72" s="7" t="str">
        <f t="shared" si="4"/>
        <v>117568150008@r6-1.deped.gov.ph</v>
      </c>
      <c r="H72" s="8" t="str">
        <f t="shared" si="3"/>
        <v>inocencio,302731</v>
      </c>
      <c r="I72" t="s">
        <v>14</v>
      </c>
    </row>
    <row r="73" spans="1:9" ht="12.75">
      <c r="A73" s="2">
        <v>70</v>
      </c>
      <c r="B73" s="7" t="s">
        <v>1862</v>
      </c>
      <c r="C73" s="7" t="s">
        <v>1871</v>
      </c>
      <c r="D73" s="7" t="s">
        <v>1872</v>
      </c>
      <c r="E73" s="8" t="s">
        <v>309</v>
      </c>
      <c r="F73" s="8">
        <v>117553150010</v>
      </c>
      <c r="G73" s="7" t="str">
        <f t="shared" si="4"/>
        <v>117553150010@r6-1.deped.gov.ph</v>
      </c>
      <c r="H73" s="8" t="str">
        <f t="shared" si="3"/>
        <v>mag-usara,302731</v>
      </c>
      <c r="I73" t="s">
        <v>14</v>
      </c>
    </row>
    <row r="74" spans="1:9" ht="12.75">
      <c r="A74" s="2">
        <v>71</v>
      </c>
      <c r="B74" s="7" t="s">
        <v>1862</v>
      </c>
      <c r="C74" s="7" t="s">
        <v>1873</v>
      </c>
      <c r="D74" s="7" t="s">
        <v>1874</v>
      </c>
      <c r="E74" s="8" t="s">
        <v>231</v>
      </c>
      <c r="F74" s="8">
        <v>117553150050</v>
      </c>
      <c r="G74" s="7" t="str">
        <f t="shared" si="4"/>
        <v>117553150050@r6-1.deped.gov.ph</v>
      </c>
      <c r="H74" s="8" t="str">
        <f t="shared" si="3"/>
        <v>matus,302731</v>
      </c>
      <c r="I74" t="s">
        <v>14</v>
      </c>
    </row>
    <row r="75" spans="1:9" ht="12.75">
      <c r="A75" s="2">
        <v>72</v>
      </c>
      <c r="B75" s="7" t="s">
        <v>1862</v>
      </c>
      <c r="C75" s="7" t="s">
        <v>1875</v>
      </c>
      <c r="D75" s="7" t="s">
        <v>1876</v>
      </c>
      <c r="E75" s="8" t="s">
        <v>252</v>
      </c>
      <c r="F75" s="8">
        <v>117550140008</v>
      </c>
      <c r="G75" s="7" t="str">
        <f t="shared" si="4"/>
        <v>117550140008@r6-1.deped.gov.ph</v>
      </c>
      <c r="H75" s="8" t="str">
        <f t="shared" si="3"/>
        <v>padayogdog,302731</v>
      </c>
      <c r="I75" t="s">
        <v>14</v>
      </c>
    </row>
    <row r="76" spans="1:9" ht="12.75">
      <c r="A76" s="2">
        <v>73</v>
      </c>
      <c r="B76" s="7" t="s">
        <v>1862</v>
      </c>
      <c r="C76" s="7" t="s">
        <v>1877</v>
      </c>
      <c r="D76" s="7" t="s">
        <v>1878</v>
      </c>
      <c r="E76" s="8" t="s">
        <v>268</v>
      </c>
      <c r="F76" s="8">
        <v>117553150012</v>
      </c>
      <c r="G76" s="7" t="str">
        <f t="shared" si="4"/>
        <v>117553150012@r6-1.deped.gov.ph</v>
      </c>
      <c r="H76" s="8" t="str">
        <f t="shared" si="3"/>
        <v>pancho,302731</v>
      </c>
      <c r="I76" t="s">
        <v>14</v>
      </c>
    </row>
    <row r="77" spans="1:9" ht="12.75">
      <c r="A77" s="2">
        <v>74</v>
      </c>
      <c r="B77" s="7" t="s">
        <v>1862</v>
      </c>
      <c r="C77" s="7" t="s">
        <v>1879</v>
      </c>
      <c r="D77" s="7" t="s">
        <v>1880</v>
      </c>
      <c r="E77" s="8" t="s">
        <v>231</v>
      </c>
      <c r="F77" s="8">
        <v>117549150007</v>
      </c>
      <c r="G77" s="7" t="str">
        <f t="shared" si="4"/>
        <v>117549150007@r6-1.deped.gov.ph</v>
      </c>
      <c r="H77" s="8" t="str">
        <f t="shared" si="3"/>
        <v>recla,302731</v>
      </c>
      <c r="I77" t="s">
        <v>14</v>
      </c>
    </row>
    <row r="78" spans="1:9" ht="12.75">
      <c r="A78" s="2">
        <v>75</v>
      </c>
      <c r="B78" s="7" t="s">
        <v>1862</v>
      </c>
      <c r="C78" s="7" t="s">
        <v>1881</v>
      </c>
      <c r="D78" s="7" t="s">
        <v>462</v>
      </c>
      <c r="E78" s="8" t="s">
        <v>231</v>
      </c>
      <c r="F78" s="8">
        <v>117553150014</v>
      </c>
      <c r="G78" s="7" t="str">
        <f t="shared" si="4"/>
        <v>117553150014@r6-1.deped.gov.ph</v>
      </c>
      <c r="H78" s="8" t="str">
        <f t="shared" si="3"/>
        <v>repal,302731</v>
      </c>
      <c r="I78" t="s">
        <v>14</v>
      </c>
    </row>
    <row r="79" spans="1:9" ht="12.75">
      <c r="A79" s="2">
        <v>76</v>
      </c>
      <c r="B79" s="7" t="s">
        <v>1862</v>
      </c>
      <c r="C79" s="7" t="s">
        <v>1882</v>
      </c>
      <c r="D79" s="7" t="s">
        <v>1883</v>
      </c>
      <c r="E79" s="8" t="s">
        <v>252</v>
      </c>
      <c r="F79" s="8">
        <v>117572160168</v>
      </c>
      <c r="G79" s="7" t="str">
        <f t="shared" si="4"/>
        <v>117572160168@r6-1.deped.gov.ph</v>
      </c>
      <c r="H79" s="8" t="str">
        <f t="shared" si="3"/>
        <v>susana,302731</v>
      </c>
      <c r="I79" t="s">
        <v>14</v>
      </c>
    </row>
    <row r="80" spans="1:9" ht="12.75">
      <c r="A80" s="2">
        <v>77</v>
      </c>
      <c r="B80" s="7" t="s">
        <v>1862</v>
      </c>
      <c r="C80" s="7" t="s">
        <v>1884</v>
      </c>
      <c r="D80" s="7" t="s">
        <v>1885</v>
      </c>
      <c r="E80" s="8" t="s">
        <v>239</v>
      </c>
      <c r="F80" s="8">
        <v>117553120082</v>
      </c>
      <c r="G80" s="7" t="str">
        <f t="shared" si="4"/>
        <v>117553120082@r6-1.deped.gov.ph</v>
      </c>
      <c r="H80" s="8" t="str">
        <f t="shared" si="3"/>
        <v>tampepe,302731</v>
      </c>
      <c r="I80" t="s">
        <v>14</v>
      </c>
    </row>
    <row r="81" spans="1:9" ht="12.75">
      <c r="A81" s="2">
        <v>78</v>
      </c>
      <c r="B81" s="7" t="s">
        <v>1862</v>
      </c>
      <c r="C81" s="7" t="s">
        <v>1886</v>
      </c>
      <c r="D81" s="7" t="s">
        <v>1887</v>
      </c>
      <c r="E81" s="8" t="s">
        <v>281</v>
      </c>
      <c r="F81" s="8">
        <v>117555120055</v>
      </c>
      <c r="G81" s="7" t="str">
        <f t="shared" si="4"/>
        <v>117555120055@r6-1.deped.gov.ph</v>
      </c>
      <c r="H81" s="8" t="str">
        <f t="shared" si="3"/>
        <v>viajedor,302731</v>
      </c>
      <c r="I81" t="s">
        <v>14</v>
      </c>
    </row>
    <row r="82" spans="1:9" ht="12.75">
      <c r="A82" s="2">
        <v>79</v>
      </c>
      <c r="B82" s="7" t="s">
        <v>1862</v>
      </c>
      <c r="C82" s="7" t="s">
        <v>1567</v>
      </c>
      <c r="D82" s="7" t="s">
        <v>1384</v>
      </c>
      <c r="E82" s="8" t="s">
        <v>245</v>
      </c>
      <c r="F82" s="8">
        <v>117553140093</v>
      </c>
      <c r="G82" s="7" t="str">
        <f t="shared" si="4"/>
        <v>117553140093@r6-1.deped.gov.ph</v>
      </c>
      <c r="H82" s="8" t="str">
        <f t="shared" si="3"/>
        <v>zamora,302731</v>
      </c>
      <c r="I82" t="s">
        <v>14</v>
      </c>
    </row>
    <row r="83" spans="1:9" ht="12.75">
      <c r="A83" s="2">
        <v>80</v>
      </c>
      <c r="B83" s="7" t="s">
        <v>1862</v>
      </c>
      <c r="C83" s="7" t="s">
        <v>1888</v>
      </c>
      <c r="D83" s="7" t="s">
        <v>1889</v>
      </c>
      <c r="E83" s="8" t="s">
        <v>281</v>
      </c>
      <c r="F83" s="8">
        <v>117550120021</v>
      </c>
      <c r="G83" s="7" t="str">
        <f t="shared" si="4"/>
        <v>117550120021@r6-1.deped.gov.ph</v>
      </c>
      <c r="H83" s="8" t="str">
        <f t="shared" si="3"/>
        <v>besa,302731</v>
      </c>
      <c r="I83" t="s">
        <v>14</v>
      </c>
    </row>
    <row r="84" spans="1:9" ht="12.75">
      <c r="A84" s="2">
        <v>81</v>
      </c>
      <c r="B84" s="7" t="s">
        <v>1862</v>
      </c>
      <c r="C84" s="7" t="s">
        <v>1890</v>
      </c>
      <c r="D84" s="7" t="s">
        <v>1891</v>
      </c>
      <c r="E84" s="8" t="s">
        <v>281</v>
      </c>
      <c r="F84" s="8">
        <v>117547140031</v>
      </c>
      <c r="G84" s="7" t="str">
        <f t="shared" si="4"/>
        <v>117547140031@r6-1.deped.gov.ph</v>
      </c>
      <c r="H84" s="8" t="str">
        <f t="shared" si="3"/>
        <v>casama,302731</v>
      </c>
      <c r="I84" t="s">
        <v>14</v>
      </c>
    </row>
    <row r="85" spans="1:9" ht="12.75">
      <c r="A85" s="2">
        <v>82</v>
      </c>
      <c r="B85" s="7" t="s">
        <v>1862</v>
      </c>
      <c r="C85" s="7" t="s">
        <v>1892</v>
      </c>
      <c r="D85" s="7" t="s">
        <v>1893</v>
      </c>
      <c r="E85" s="8" t="s">
        <v>294</v>
      </c>
      <c r="F85" s="8">
        <v>117550150004</v>
      </c>
      <c r="G85" s="7" t="str">
        <f t="shared" si="4"/>
        <v>117550150004@r6-1.deped.gov.ph</v>
      </c>
      <c r="H85" s="8" t="str">
        <f t="shared" si="3"/>
        <v>coberos,302731</v>
      </c>
      <c r="I85" t="s">
        <v>14</v>
      </c>
    </row>
    <row r="86" spans="1:9" ht="12.75">
      <c r="A86" s="2">
        <v>83</v>
      </c>
      <c r="B86" s="7" t="s">
        <v>1862</v>
      </c>
      <c r="C86" s="7" t="s">
        <v>321</v>
      </c>
      <c r="D86" s="7" t="s">
        <v>1894</v>
      </c>
      <c r="E86" s="8" t="s">
        <v>231</v>
      </c>
      <c r="F86" s="8">
        <v>117553140045</v>
      </c>
      <c r="G86" s="7" t="str">
        <f t="shared" si="4"/>
        <v>117553140045@r6-1.deped.gov.ph</v>
      </c>
      <c r="H86" s="8" t="str">
        <f t="shared" si="3"/>
        <v>dela torre,302731</v>
      </c>
      <c r="I86" t="s">
        <v>14</v>
      </c>
    </row>
    <row r="87" spans="1:9" ht="12.75">
      <c r="A87" s="2">
        <v>84</v>
      </c>
      <c r="B87" s="7" t="s">
        <v>1862</v>
      </c>
      <c r="C87" s="7" t="s">
        <v>1895</v>
      </c>
      <c r="D87" s="7" t="s">
        <v>1896</v>
      </c>
      <c r="E87" s="8" t="s">
        <v>263</v>
      </c>
      <c r="F87" s="8">
        <v>117553150042</v>
      </c>
      <c r="G87" s="7" t="str">
        <f t="shared" si="4"/>
        <v>117553150042@r6-1.deped.gov.ph</v>
      </c>
      <c r="H87" s="8" t="str">
        <f t="shared" si="3"/>
        <v>enong,302731</v>
      </c>
      <c r="I87" t="s">
        <v>14</v>
      </c>
    </row>
    <row r="88" spans="1:9" ht="12.75">
      <c r="A88" s="2">
        <v>85</v>
      </c>
      <c r="B88" s="7" t="s">
        <v>1862</v>
      </c>
      <c r="C88" s="7" t="s">
        <v>1897</v>
      </c>
      <c r="D88" s="7" t="s">
        <v>1898</v>
      </c>
      <c r="E88" s="8" t="s">
        <v>294</v>
      </c>
      <c r="F88" s="8">
        <v>117550130010</v>
      </c>
      <c r="G88" s="7" t="str">
        <f t="shared" si="4"/>
        <v>117550130010@r6-1.deped.gov.ph</v>
      </c>
      <c r="H88" s="8" t="str">
        <f t="shared" si="3"/>
        <v>erabon,302731</v>
      </c>
      <c r="I88" t="s">
        <v>14</v>
      </c>
    </row>
    <row r="89" spans="1:9" ht="12.75">
      <c r="A89" s="2">
        <v>86</v>
      </c>
      <c r="B89" s="7" t="s">
        <v>1862</v>
      </c>
      <c r="C89" s="7" t="s">
        <v>1899</v>
      </c>
      <c r="D89" s="7" t="s">
        <v>1900</v>
      </c>
      <c r="E89" s="8" t="s">
        <v>263</v>
      </c>
      <c r="F89" s="8">
        <v>136743160431</v>
      </c>
      <c r="G89" s="7" t="str">
        <f t="shared" si="4"/>
        <v>136743160431@r6-1.deped.gov.ph</v>
      </c>
      <c r="H89" s="8" t="str">
        <f t="shared" si="3"/>
        <v>igloria,302731</v>
      </c>
      <c r="I89" t="s">
        <v>14</v>
      </c>
    </row>
    <row r="90" spans="1:9" ht="12.75">
      <c r="A90" s="2">
        <v>87</v>
      </c>
      <c r="B90" s="7" t="s">
        <v>1862</v>
      </c>
      <c r="C90" s="7" t="s">
        <v>1901</v>
      </c>
      <c r="D90" s="7" t="s">
        <v>1902</v>
      </c>
      <c r="E90" s="8" t="s">
        <v>252</v>
      </c>
      <c r="F90" s="8">
        <v>117560150012</v>
      </c>
      <c r="G90" s="7" t="str">
        <f t="shared" si="4"/>
        <v>117560150012@r6-1.deped.gov.ph</v>
      </c>
      <c r="H90" s="8" t="str">
        <f t="shared" si="3"/>
        <v>lamayan,302731</v>
      </c>
      <c r="I90" t="s">
        <v>14</v>
      </c>
    </row>
    <row r="91" spans="1:9" ht="12.75">
      <c r="A91" s="2">
        <v>88</v>
      </c>
      <c r="B91" s="7" t="s">
        <v>1862</v>
      </c>
      <c r="C91" s="7" t="s">
        <v>1903</v>
      </c>
      <c r="D91" s="7" t="s">
        <v>1904</v>
      </c>
      <c r="E91" s="8" t="s">
        <v>281</v>
      </c>
      <c r="F91" s="8">
        <v>117553140009</v>
      </c>
      <c r="G91" s="7" t="str">
        <f t="shared" si="4"/>
        <v>117553140009@r6-1.deped.gov.ph</v>
      </c>
      <c r="H91" s="8" t="str">
        <f t="shared" si="3"/>
        <v>llanera,302731</v>
      </c>
      <c r="I91" t="s">
        <v>14</v>
      </c>
    </row>
    <row r="92" spans="1:9" ht="12.75">
      <c r="A92" s="2">
        <v>89</v>
      </c>
      <c r="B92" s="7" t="s">
        <v>1862</v>
      </c>
      <c r="C92" s="7" t="s">
        <v>1905</v>
      </c>
      <c r="D92" s="7" t="s">
        <v>1906</v>
      </c>
      <c r="E92" s="8" t="s">
        <v>245</v>
      </c>
      <c r="F92" s="8">
        <v>117568150017</v>
      </c>
      <c r="G92" s="7" t="str">
        <f t="shared" si="4"/>
        <v>117568150017@r6-1.deped.gov.ph</v>
      </c>
      <c r="H92" s="8" t="str">
        <f t="shared" si="3"/>
        <v>montinola,302731</v>
      </c>
      <c r="I92" t="s">
        <v>14</v>
      </c>
    </row>
    <row r="93" spans="1:9" ht="12.75">
      <c r="A93" s="2">
        <v>90</v>
      </c>
      <c r="B93" s="7" t="s">
        <v>1862</v>
      </c>
      <c r="C93" s="7" t="s">
        <v>1907</v>
      </c>
      <c r="D93" s="7" t="s">
        <v>1908</v>
      </c>
      <c r="E93" s="8" t="s">
        <v>294</v>
      </c>
      <c r="F93" s="8">
        <v>117808150046</v>
      </c>
      <c r="G93" s="7" t="str">
        <f t="shared" si="4"/>
        <v>117808150046@r6-1.deped.gov.ph</v>
      </c>
      <c r="H93" s="8" t="str">
        <f t="shared" si="3"/>
        <v>semillano,302731</v>
      </c>
      <c r="I93" t="s">
        <v>46</v>
      </c>
    </row>
    <row r="94" spans="1:9" ht="12.75">
      <c r="A94" s="2">
        <v>91</v>
      </c>
      <c r="B94" s="7" t="s">
        <v>1862</v>
      </c>
      <c r="C94" s="7" t="s">
        <v>1909</v>
      </c>
      <c r="D94" s="7" t="s">
        <v>1910</v>
      </c>
      <c r="E94" s="8" t="s">
        <v>239</v>
      </c>
      <c r="F94" s="8">
        <v>116867150022</v>
      </c>
      <c r="G94" s="7" t="str">
        <f t="shared" si="4"/>
        <v>116867150022@r6-1.deped.gov.ph</v>
      </c>
      <c r="H94" s="8" t="str">
        <f t="shared" si="3"/>
        <v>talorong,302731</v>
      </c>
      <c r="I94" t="s">
        <v>14</v>
      </c>
    </row>
    <row r="95" spans="1:9" ht="12.75">
      <c r="A95" s="2">
        <v>92</v>
      </c>
      <c r="B95" s="7" t="s">
        <v>1862</v>
      </c>
      <c r="C95" s="7" t="s">
        <v>1911</v>
      </c>
      <c r="D95" s="7" t="s">
        <v>1912</v>
      </c>
      <c r="E95" s="8" t="s">
        <v>263</v>
      </c>
      <c r="F95" s="8">
        <v>117553140030</v>
      </c>
      <c r="G95" s="7" t="str">
        <f t="shared" si="4"/>
        <v>117553140030@r6-1.deped.gov.ph</v>
      </c>
      <c r="H95" s="8" t="str">
        <f t="shared" si="3"/>
        <v>tolentino,302731</v>
      </c>
      <c r="I95" t="s">
        <v>14</v>
      </c>
    </row>
    <row r="96" spans="1:9" ht="12.75">
      <c r="A96" s="2">
        <v>93</v>
      </c>
      <c r="B96" s="7" t="s">
        <v>1913</v>
      </c>
      <c r="C96" s="7" t="s">
        <v>1914</v>
      </c>
      <c r="D96" s="7" t="s">
        <v>1915</v>
      </c>
      <c r="E96" s="8" t="s">
        <v>281</v>
      </c>
      <c r="F96" s="8">
        <v>117555150003</v>
      </c>
      <c r="G96" s="7" t="str">
        <f t="shared" si="4"/>
        <v>117555150003@r6-1.deped.gov.ph</v>
      </c>
      <c r="H96" s="8" t="str">
        <f t="shared" si="3"/>
        <v>asuncin,302731</v>
      </c>
      <c r="I96" t="s">
        <v>14</v>
      </c>
    </row>
    <row r="97" spans="1:9" ht="12.75">
      <c r="A97" s="2">
        <v>94</v>
      </c>
      <c r="B97" s="7" t="s">
        <v>1913</v>
      </c>
      <c r="C97" s="7" t="s">
        <v>136</v>
      </c>
      <c r="D97" s="7" t="s">
        <v>1916</v>
      </c>
      <c r="E97" s="8" t="s">
        <v>255</v>
      </c>
      <c r="F97" s="8">
        <v>117553130121</v>
      </c>
      <c r="G97" s="7" t="str">
        <f t="shared" si="4"/>
        <v>117553130121@r6-1.deped.gov.ph</v>
      </c>
      <c r="H97" s="8" t="str">
        <f t="shared" si="3"/>
        <v>caballero,302731</v>
      </c>
      <c r="I97" t="s">
        <v>14</v>
      </c>
    </row>
    <row r="98" spans="1:9" ht="12.75">
      <c r="A98" s="2">
        <v>95</v>
      </c>
      <c r="B98" s="7" t="s">
        <v>1913</v>
      </c>
      <c r="C98" s="7" t="s">
        <v>1917</v>
      </c>
      <c r="D98" s="7" t="s">
        <v>1918</v>
      </c>
      <c r="E98" s="8" t="s">
        <v>739</v>
      </c>
      <c r="F98" s="8">
        <v>117549160017</v>
      </c>
      <c r="G98" s="7" t="str">
        <f t="shared" si="4"/>
        <v>117549160017@r6-1.deped.gov.ph</v>
      </c>
      <c r="H98" s="8" t="str">
        <f t="shared" si="3"/>
        <v>deferia,302731</v>
      </c>
      <c r="I98" t="s">
        <v>14</v>
      </c>
    </row>
    <row r="99" spans="1:9" ht="12.75">
      <c r="A99" s="2">
        <v>96</v>
      </c>
      <c r="B99" s="7" t="s">
        <v>1913</v>
      </c>
      <c r="C99" s="7" t="s">
        <v>1919</v>
      </c>
      <c r="D99" s="7" t="s">
        <v>1920</v>
      </c>
      <c r="E99" s="8" t="s">
        <v>739</v>
      </c>
      <c r="F99" s="8">
        <v>117553150001</v>
      </c>
      <c r="G99" s="7" t="str">
        <f t="shared" si="4"/>
        <v>117553150001@r6-1.deped.gov.ph</v>
      </c>
      <c r="H99" s="8" t="str">
        <f t="shared" si="3"/>
        <v>escopete,302731</v>
      </c>
      <c r="I99" t="s">
        <v>14</v>
      </c>
    </row>
    <row r="100" spans="1:9" ht="12.75">
      <c r="A100" s="2">
        <v>97</v>
      </c>
      <c r="B100" s="7" t="s">
        <v>1913</v>
      </c>
      <c r="C100" s="7" t="s">
        <v>534</v>
      </c>
      <c r="D100" s="7" t="s">
        <v>1921</v>
      </c>
      <c r="E100" s="8" t="s">
        <v>263</v>
      </c>
      <c r="F100" s="8">
        <v>117553150071</v>
      </c>
      <c r="G100" s="7" t="str">
        <f t="shared" si="4"/>
        <v>117553150071@r6-1.deped.gov.ph</v>
      </c>
      <c r="H100" s="8" t="str">
        <f t="shared" si="3"/>
        <v>ferrer,302731</v>
      </c>
      <c r="I100" t="s">
        <v>14</v>
      </c>
    </row>
    <row r="101" spans="1:9" ht="12.75">
      <c r="A101" s="2">
        <v>98</v>
      </c>
      <c r="B101" s="7" t="s">
        <v>1913</v>
      </c>
      <c r="C101" s="7" t="s">
        <v>1922</v>
      </c>
      <c r="D101" s="7" t="s">
        <v>1923</v>
      </c>
      <c r="E101" s="8" t="s">
        <v>239</v>
      </c>
      <c r="F101" s="8">
        <v>117553140091</v>
      </c>
      <c r="G101" s="7" t="str">
        <f t="shared" si="4"/>
        <v>117553140091@r6-1.deped.gov.ph</v>
      </c>
      <c r="H101" s="8" t="str">
        <f t="shared" si="3"/>
        <v>jarina,302731</v>
      </c>
      <c r="I101" t="s">
        <v>14</v>
      </c>
    </row>
    <row r="102" spans="1:9" ht="12.75">
      <c r="A102" s="2">
        <v>99</v>
      </c>
      <c r="B102" s="7" t="s">
        <v>1913</v>
      </c>
      <c r="C102" s="7" t="s">
        <v>1924</v>
      </c>
      <c r="D102" s="7" t="s">
        <v>1925</v>
      </c>
      <c r="E102" s="8" t="s">
        <v>268</v>
      </c>
      <c r="F102" s="8">
        <v>117553150032</v>
      </c>
      <c r="G102" s="7" t="str">
        <f t="shared" si="4"/>
        <v>117553150032@r6-1.deped.gov.ph</v>
      </c>
      <c r="H102" s="8" t="str">
        <f t="shared" si="3"/>
        <v>legaspi,302731</v>
      </c>
      <c r="I102" t="s">
        <v>14</v>
      </c>
    </row>
    <row r="103" spans="1:9" ht="12.75">
      <c r="A103" s="2">
        <v>100</v>
      </c>
      <c r="B103" s="7" t="s">
        <v>1913</v>
      </c>
      <c r="C103" s="7" t="s">
        <v>1926</v>
      </c>
      <c r="D103" s="7" t="s">
        <v>1927</v>
      </c>
      <c r="E103" s="8" t="s">
        <v>257</v>
      </c>
      <c r="F103" s="8">
        <v>117553160008</v>
      </c>
      <c r="G103" s="7" t="str">
        <f t="shared" si="4"/>
        <v>117553160008@r6-1.deped.gov.ph</v>
      </c>
      <c r="H103" s="8" t="str">
        <f t="shared" si="3"/>
        <v>natabio,302731</v>
      </c>
      <c r="I103" t="s">
        <v>14</v>
      </c>
    </row>
    <row r="104" spans="1:9" ht="12.75">
      <c r="A104" s="2">
        <v>101</v>
      </c>
      <c r="B104" s="7" t="s">
        <v>1913</v>
      </c>
      <c r="C104" s="7" t="s">
        <v>1928</v>
      </c>
      <c r="D104" s="7" t="s">
        <v>1929</v>
      </c>
      <c r="E104" s="8" t="s">
        <v>257</v>
      </c>
      <c r="F104" s="8">
        <v>117547150001</v>
      </c>
      <c r="G104" s="7" t="str">
        <f t="shared" si="4"/>
        <v>117547150001@r6-1.deped.gov.ph</v>
      </c>
      <c r="H104" s="8" t="str">
        <f t="shared" si="3"/>
        <v>nietes,302731</v>
      </c>
      <c r="I104" t="s">
        <v>14</v>
      </c>
    </row>
    <row r="105" spans="1:9" ht="12.75">
      <c r="A105" s="2">
        <v>102</v>
      </c>
      <c r="B105" s="7" t="s">
        <v>1913</v>
      </c>
      <c r="C105" s="7" t="s">
        <v>1930</v>
      </c>
      <c r="D105" s="7" t="s">
        <v>1931</v>
      </c>
      <c r="E105" s="8" t="s">
        <v>245</v>
      </c>
      <c r="F105" s="8">
        <v>117550150007</v>
      </c>
      <c r="G105" s="7" t="str">
        <f t="shared" si="4"/>
        <v>117550150007@r6-1.deped.gov.ph</v>
      </c>
      <c r="H105" s="8" t="str">
        <f t="shared" si="3"/>
        <v>palanog,302731</v>
      </c>
      <c r="I105" t="s">
        <v>14</v>
      </c>
    </row>
    <row r="106" spans="1:9" ht="12.75">
      <c r="A106" s="2">
        <v>103</v>
      </c>
      <c r="B106" s="7" t="s">
        <v>1913</v>
      </c>
      <c r="C106" s="7" t="s">
        <v>1932</v>
      </c>
      <c r="D106" s="7" t="s">
        <v>1933</v>
      </c>
      <c r="E106" s="8" t="s">
        <v>263</v>
      </c>
      <c r="F106" s="8">
        <v>110260140010</v>
      </c>
      <c r="G106" s="7" t="str">
        <f t="shared" si="4"/>
        <v>110260140010@r6-1.deped.gov.ph</v>
      </c>
      <c r="H106" s="8" t="str">
        <f t="shared" si="3"/>
        <v>quijano,302731</v>
      </c>
      <c r="I106" t="s">
        <v>14</v>
      </c>
    </row>
    <row r="107" spans="1:9" ht="12.75">
      <c r="A107" s="2">
        <v>104</v>
      </c>
      <c r="B107" s="7" t="s">
        <v>1913</v>
      </c>
      <c r="C107" s="7" t="s">
        <v>1934</v>
      </c>
      <c r="D107" s="7" t="s">
        <v>564</v>
      </c>
      <c r="E107" s="8" t="s">
        <v>263</v>
      </c>
      <c r="F107" s="8">
        <v>117553150034</v>
      </c>
      <c r="G107" s="7" t="str">
        <f t="shared" si="4"/>
        <v>117553150034@r6-1.deped.gov.ph</v>
      </c>
      <c r="H107" s="8" t="str">
        <f t="shared" si="3"/>
        <v>rosa-ut,302731</v>
      </c>
      <c r="I107" t="s">
        <v>14</v>
      </c>
    </row>
    <row r="108" spans="1:9" ht="12.75">
      <c r="A108" s="2">
        <v>105</v>
      </c>
      <c r="B108" s="7" t="s">
        <v>1913</v>
      </c>
      <c r="C108" s="7" t="s">
        <v>1935</v>
      </c>
      <c r="D108" s="7" t="s">
        <v>1936</v>
      </c>
      <c r="E108" s="8" t="s">
        <v>257</v>
      </c>
      <c r="F108" s="8">
        <v>442002150023</v>
      </c>
      <c r="G108" s="7" t="str">
        <f t="shared" si="4"/>
        <v>442002150023@r6-1.deped.gov.ph</v>
      </c>
      <c r="H108" s="8" t="str">
        <f t="shared" si="3"/>
        <v>sumahit,302731</v>
      </c>
      <c r="I108" t="s">
        <v>14</v>
      </c>
    </row>
    <row r="109" spans="1:9" ht="12.75">
      <c r="A109" s="2">
        <v>106</v>
      </c>
      <c r="B109" s="7" t="s">
        <v>1913</v>
      </c>
      <c r="C109" s="7" t="s">
        <v>1567</v>
      </c>
      <c r="D109" s="7" t="s">
        <v>1937</v>
      </c>
      <c r="E109" s="8" t="s">
        <v>260</v>
      </c>
      <c r="F109" s="8">
        <v>117553150039</v>
      </c>
      <c r="G109" s="7" t="str">
        <f t="shared" si="4"/>
        <v>117553150039@r6-1.deped.gov.ph</v>
      </c>
      <c r="H109" s="8" t="str">
        <f t="shared" si="3"/>
        <v>zamora,302731</v>
      </c>
      <c r="I109" t="s">
        <v>14</v>
      </c>
    </row>
    <row r="110" spans="1:9" ht="12.75">
      <c r="A110" s="2">
        <v>107</v>
      </c>
      <c r="B110" s="7" t="s">
        <v>1913</v>
      </c>
      <c r="C110" s="7" t="s">
        <v>882</v>
      </c>
      <c r="D110" s="7" t="s">
        <v>1938</v>
      </c>
      <c r="E110" s="8" t="s">
        <v>268</v>
      </c>
      <c r="F110" s="8">
        <v>117549150008</v>
      </c>
      <c r="G110" s="7" t="str">
        <f t="shared" si="4"/>
        <v>117549150008@r6-1.deped.gov.ph</v>
      </c>
      <c r="H110" s="8" t="str">
        <f t="shared" si="3"/>
        <v>aguilar,302731</v>
      </c>
      <c r="I110" t="s">
        <v>14</v>
      </c>
    </row>
    <row r="111" spans="1:9" ht="12.75">
      <c r="A111" s="2">
        <v>108</v>
      </c>
      <c r="B111" s="7" t="s">
        <v>1913</v>
      </c>
      <c r="C111" s="7" t="s">
        <v>1478</v>
      </c>
      <c r="D111" s="7" t="s">
        <v>1939</v>
      </c>
      <c r="E111" s="8" t="s">
        <v>294</v>
      </c>
      <c r="F111" s="8">
        <v>117553130129</v>
      </c>
      <c r="G111" s="7" t="str">
        <f t="shared" si="4"/>
        <v>117553130129@r6-1.deped.gov.ph</v>
      </c>
      <c r="H111" s="8" t="str">
        <f t="shared" si="3"/>
        <v>catalan,302731</v>
      </c>
      <c r="I111" t="s">
        <v>14</v>
      </c>
    </row>
    <row r="112" spans="1:9" ht="12.75">
      <c r="A112" s="2">
        <v>109</v>
      </c>
      <c r="B112" s="7" t="s">
        <v>1913</v>
      </c>
      <c r="C112" s="7" t="s">
        <v>375</v>
      </c>
      <c r="D112" s="7" t="s">
        <v>1940</v>
      </c>
      <c r="E112" s="8" t="s">
        <v>252</v>
      </c>
      <c r="F112" s="8">
        <v>117550150018</v>
      </c>
      <c r="G112" s="7" t="str">
        <f t="shared" si="4"/>
        <v>117550150018@r6-1.deped.gov.ph</v>
      </c>
      <c r="H112" s="8" t="str">
        <f t="shared" ref="H112:H159" si="5">IF(C112="","",LOWER(TRIM(C112))&amp;",302731")</f>
        <v>cordero,302731</v>
      </c>
      <c r="I112" t="s">
        <v>14</v>
      </c>
    </row>
    <row r="113" spans="1:9" ht="12.75">
      <c r="A113" s="2">
        <v>110</v>
      </c>
      <c r="B113" s="7" t="s">
        <v>1913</v>
      </c>
      <c r="C113" s="7" t="s">
        <v>1941</v>
      </c>
      <c r="D113" s="7" t="s">
        <v>521</v>
      </c>
      <c r="E113" s="8" t="s">
        <v>263</v>
      </c>
      <c r="F113" s="8">
        <v>117568150024</v>
      </c>
      <c r="G113" s="7" t="str">
        <f t="shared" si="4"/>
        <v>117568150024@r6-1.deped.gov.ph</v>
      </c>
      <c r="H113" s="8" t="str">
        <f t="shared" si="5"/>
        <v>denahiva,302731</v>
      </c>
      <c r="I113" t="s">
        <v>14</v>
      </c>
    </row>
    <row r="114" spans="1:9" ht="12.75">
      <c r="A114" s="2">
        <v>111</v>
      </c>
      <c r="B114" s="7" t="s">
        <v>1913</v>
      </c>
      <c r="C114" s="7" t="s">
        <v>1942</v>
      </c>
      <c r="D114" s="7" t="s">
        <v>1943</v>
      </c>
      <c r="E114" s="8" t="s">
        <v>309</v>
      </c>
      <c r="F114" s="8">
        <v>117564150012</v>
      </c>
      <c r="G114" s="7" t="str">
        <f t="shared" si="4"/>
        <v>117564150012@r6-1.deped.gov.ph</v>
      </c>
      <c r="H114" s="8" t="str">
        <f t="shared" si="5"/>
        <v>dionaldo,302731</v>
      </c>
      <c r="I114" t="s">
        <v>14</v>
      </c>
    </row>
    <row r="115" spans="1:9" ht="12.75">
      <c r="A115" s="2">
        <v>112</v>
      </c>
      <c r="B115" s="7" t="s">
        <v>1913</v>
      </c>
      <c r="C115" s="7" t="s">
        <v>32</v>
      </c>
      <c r="D115" s="7" t="s">
        <v>1944</v>
      </c>
      <c r="E115" s="8" t="s">
        <v>239</v>
      </c>
      <c r="F115" s="8">
        <v>117561150199</v>
      </c>
      <c r="G115" s="7" t="str">
        <f t="shared" si="4"/>
        <v>117561150199@r6-1.deped.gov.ph</v>
      </c>
      <c r="H115" s="8" t="str">
        <f t="shared" si="5"/>
        <v>espinosa,302731</v>
      </c>
      <c r="I115" t="s">
        <v>14</v>
      </c>
    </row>
    <row r="116" spans="1:9" ht="12.75">
      <c r="A116" s="2">
        <v>113</v>
      </c>
      <c r="B116" s="7" t="s">
        <v>1913</v>
      </c>
      <c r="C116" s="7" t="s">
        <v>1945</v>
      </c>
      <c r="D116" s="7" t="s">
        <v>1946</v>
      </c>
      <c r="E116" s="8" t="s">
        <v>245</v>
      </c>
      <c r="F116" s="8">
        <v>117564150013</v>
      </c>
      <c r="G116" s="7" t="str">
        <f t="shared" si="4"/>
        <v>117564150013@r6-1.deped.gov.ph</v>
      </c>
      <c r="H116" s="8" t="str">
        <f t="shared" si="5"/>
        <v>gregorio,302731</v>
      </c>
      <c r="I116" t="s">
        <v>14</v>
      </c>
    </row>
    <row r="117" spans="1:9" ht="12.75">
      <c r="A117" s="2">
        <v>114</v>
      </c>
      <c r="B117" s="7" t="s">
        <v>1913</v>
      </c>
      <c r="C117" s="7" t="s">
        <v>1945</v>
      </c>
      <c r="D117" s="7" t="s">
        <v>1365</v>
      </c>
      <c r="E117" s="8" t="s">
        <v>255</v>
      </c>
      <c r="F117" s="8">
        <v>117564150013</v>
      </c>
      <c r="G117" s="7" t="str">
        <f t="shared" si="4"/>
        <v>117564150013@r6-1.deped.gov.ph</v>
      </c>
      <c r="H117" s="8" t="str">
        <f t="shared" si="5"/>
        <v>gregorio,302731</v>
      </c>
      <c r="I117" t="s">
        <v>14</v>
      </c>
    </row>
    <row r="118" spans="1:9" ht="12.75">
      <c r="A118" s="2">
        <v>115</v>
      </c>
      <c r="B118" s="7" t="s">
        <v>1913</v>
      </c>
      <c r="C118" s="7" t="s">
        <v>803</v>
      </c>
      <c r="D118" s="7" t="s">
        <v>1947</v>
      </c>
      <c r="E118" s="8" t="s">
        <v>263</v>
      </c>
      <c r="F118" s="8">
        <v>117553150022</v>
      </c>
      <c r="G118" s="7" t="str">
        <f t="shared" si="4"/>
        <v>117553150022@r6-1.deped.gov.ph</v>
      </c>
      <c r="H118" s="8" t="str">
        <f t="shared" si="5"/>
        <v>jasmin,302731</v>
      </c>
      <c r="I118" t="s">
        <v>14</v>
      </c>
    </row>
    <row r="119" spans="1:9" ht="12.75">
      <c r="A119" s="2">
        <v>116</v>
      </c>
      <c r="B119" s="7" t="s">
        <v>1913</v>
      </c>
      <c r="C119" s="7" t="s">
        <v>1948</v>
      </c>
      <c r="D119" s="7" t="s">
        <v>1949</v>
      </c>
      <c r="E119" s="8" t="s">
        <v>311</v>
      </c>
      <c r="F119" s="8">
        <v>117568150016</v>
      </c>
      <c r="G119" s="7" t="str">
        <f t="shared" si="4"/>
        <v>117568150016@r6-1.deped.gov.ph</v>
      </c>
      <c r="H119" s="8" t="str">
        <f t="shared" si="5"/>
        <v>javillo,302731</v>
      </c>
      <c r="I119" t="s">
        <v>14</v>
      </c>
    </row>
    <row r="120" spans="1:9" ht="12.75">
      <c r="A120" s="2">
        <v>117</v>
      </c>
      <c r="B120" s="7" t="s">
        <v>1913</v>
      </c>
      <c r="C120" s="7" t="s">
        <v>1950</v>
      </c>
      <c r="D120" s="7" t="s">
        <v>1951</v>
      </c>
      <c r="E120" s="8" t="s">
        <v>245</v>
      </c>
      <c r="F120" s="8">
        <v>117553150043</v>
      </c>
      <c r="G120" s="7" t="str">
        <f t="shared" si="4"/>
        <v>117553150043@r6-1.deped.gov.ph</v>
      </c>
      <c r="H120" s="8" t="str">
        <f t="shared" si="5"/>
        <v>orias,302731</v>
      </c>
      <c r="I120" t="s">
        <v>14</v>
      </c>
    </row>
    <row r="121" spans="1:9" ht="12.75">
      <c r="A121" s="2">
        <v>118</v>
      </c>
      <c r="B121" s="7" t="s">
        <v>1913</v>
      </c>
      <c r="C121" s="7" t="s">
        <v>1801</v>
      </c>
      <c r="D121" s="7" t="s">
        <v>1952</v>
      </c>
      <c r="E121" s="8" t="s">
        <v>95</v>
      </c>
      <c r="F121" s="8">
        <v>117550150020</v>
      </c>
      <c r="G121" s="7" t="str">
        <f t="shared" si="4"/>
        <v>117550150020@r6-1.deped.gov.ph</v>
      </c>
      <c r="H121" s="8" t="str">
        <f t="shared" si="5"/>
        <v>pacubas,302731</v>
      </c>
      <c r="I121" t="s">
        <v>14</v>
      </c>
    </row>
    <row r="122" spans="1:9" ht="12.75">
      <c r="A122" s="2">
        <v>119</v>
      </c>
      <c r="B122" s="7" t="s">
        <v>1913</v>
      </c>
      <c r="C122" s="7" t="s">
        <v>1953</v>
      </c>
      <c r="D122" s="7" t="s">
        <v>1954</v>
      </c>
      <c r="E122" s="8" t="s">
        <v>294</v>
      </c>
      <c r="F122" s="8">
        <v>117555150010</v>
      </c>
      <c r="G122" s="7" t="str">
        <f t="shared" si="4"/>
        <v>117555150010@r6-1.deped.gov.ph</v>
      </c>
      <c r="H122" s="8" t="str">
        <f t="shared" si="5"/>
        <v>parreno,302731</v>
      </c>
      <c r="I122" t="s">
        <v>14</v>
      </c>
    </row>
    <row r="123" spans="1:9" ht="12.75">
      <c r="A123" s="2">
        <v>120</v>
      </c>
      <c r="B123" s="7" t="s">
        <v>1913</v>
      </c>
      <c r="C123" s="7" t="s">
        <v>1955</v>
      </c>
      <c r="D123" s="7" t="s">
        <v>1956</v>
      </c>
      <c r="E123" s="8" t="s">
        <v>281</v>
      </c>
      <c r="F123" s="8">
        <v>117568150027</v>
      </c>
      <c r="G123" s="7" t="str">
        <f t="shared" si="4"/>
        <v>117568150027@r6-1.deped.gov.ph</v>
      </c>
      <c r="H123" s="8" t="str">
        <f t="shared" si="5"/>
        <v>postrero,302731</v>
      </c>
      <c r="I123" t="s">
        <v>14</v>
      </c>
    </row>
    <row r="124" spans="1:9" ht="12.75">
      <c r="A124" s="2">
        <v>121</v>
      </c>
      <c r="B124" s="7" t="s">
        <v>1913</v>
      </c>
      <c r="C124" s="7" t="s">
        <v>1957</v>
      </c>
      <c r="D124" s="7" t="s">
        <v>1958</v>
      </c>
      <c r="E124" s="8" t="s">
        <v>309</v>
      </c>
      <c r="F124" s="8">
        <v>117553130090</v>
      </c>
      <c r="G124" s="7" t="str">
        <f t="shared" si="4"/>
        <v>117553130090@r6-1.deped.gov.ph</v>
      </c>
      <c r="H124" s="8" t="str">
        <f t="shared" si="5"/>
        <v>rodriguez,302731</v>
      </c>
      <c r="I124" t="s">
        <v>14</v>
      </c>
    </row>
    <row r="125" spans="1:9" ht="12.75">
      <c r="A125" s="2">
        <v>122</v>
      </c>
      <c r="B125" s="7" t="s">
        <v>1913</v>
      </c>
      <c r="C125" s="7" t="s">
        <v>1959</v>
      </c>
      <c r="D125" s="7" t="s">
        <v>1960</v>
      </c>
      <c r="E125" s="8" t="s">
        <v>245</v>
      </c>
      <c r="F125" s="8">
        <v>117552150004</v>
      </c>
      <c r="G125" s="7" t="str">
        <f t="shared" si="4"/>
        <v>117552150004@r6-1.deped.gov.ph</v>
      </c>
      <c r="H125" s="8" t="str">
        <f t="shared" si="5"/>
        <v>ruiz,302731</v>
      </c>
      <c r="I125" t="s">
        <v>14</v>
      </c>
    </row>
    <row r="126" spans="1:9" ht="12.75">
      <c r="A126" s="2">
        <v>123</v>
      </c>
      <c r="B126" s="7" t="s">
        <v>1913</v>
      </c>
      <c r="C126" s="7" t="s">
        <v>1961</v>
      </c>
      <c r="D126" s="7" t="s">
        <v>216</v>
      </c>
      <c r="E126" s="8" t="s">
        <v>263</v>
      </c>
      <c r="F126" s="8">
        <v>117553130116</v>
      </c>
      <c r="G126" s="7" t="str">
        <f t="shared" si="4"/>
        <v>117553130116@r6-1.deped.gov.ph</v>
      </c>
      <c r="H126" s="8" t="str">
        <f t="shared" si="5"/>
        <v>sarona,302731</v>
      </c>
      <c r="I126" t="s">
        <v>14</v>
      </c>
    </row>
    <row r="127" spans="1:9" ht="12.75">
      <c r="A127" s="2">
        <v>124</v>
      </c>
      <c r="B127" s="7" t="s">
        <v>1913</v>
      </c>
      <c r="C127" s="7" t="s">
        <v>1962</v>
      </c>
      <c r="D127" s="7" t="s">
        <v>1963</v>
      </c>
      <c r="E127" s="8" t="s">
        <v>255</v>
      </c>
      <c r="F127" s="8">
        <v>117553150061</v>
      </c>
      <c r="G127" s="7" t="str">
        <f t="shared" si="4"/>
        <v>117553150061@r6-1.deped.gov.ph</v>
      </c>
      <c r="H127" s="8" t="str">
        <f t="shared" si="5"/>
        <v>villaester,302731</v>
      </c>
      <c r="I127" t="s">
        <v>14</v>
      </c>
    </row>
    <row r="128" spans="1:9" ht="12.75">
      <c r="A128" s="2">
        <v>125</v>
      </c>
      <c r="B128" s="7" t="s">
        <v>1964</v>
      </c>
      <c r="C128" s="7" t="s">
        <v>1965</v>
      </c>
      <c r="D128" s="7" t="s">
        <v>1966</v>
      </c>
      <c r="E128" s="8" t="s">
        <v>294</v>
      </c>
      <c r="F128" s="8">
        <v>117568160004</v>
      </c>
      <c r="G128" s="7" t="str">
        <f t="shared" si="4"/>
        <v>117568160004@r6-1.deped.gov.ph</v>
      </c>
      <c r="H128" s="8" t="str">
        <f t="shared" si="5"/>
        <v>amado,302731</v>
      </c>
      <c r="I128" t="s">
        <v>14</v>
      </c>
    </row>
    <row r="129" spans="1:9" ht="12.75">
      <c r="A129" s="2">
        <v>126</v>
      </c>
      <c r="B129" s="7" t="s">
        <v>1964</v>
      </c>
      <c r="C129" s="7" t="s">
        <v>1839</v>
      </c>
      <c r="D129" s="7" t="s">
        <v>1967</v>
      </c>
      <c r="E129" s="8" t="s">
        <v>268</v>
      </c>
      <c r="F129" s="8">
        <v>117550150009</v>
      </c>
      <c r="G129" s="7" t="str">
        <f t="shared" si="4"/>
        <v>117550150009@r6-1.deped.gov.ph</v>
      </c>
      <c r="H129" s="8" t="str">
        <f t="shared" si="5"/>
        <v>bingcang,302731</v>
      </c>
      <c r="I129" t="s">
        <v>14</v>
      </c>
    </row>
    <row r="130" spans="1:9" ht="12.75">
      <c r="A130" s="2">
        <v>127</v>
      </c>
      <c r="B130" s="7" t="s">
        <v>1964</v>
      </c>
      <c r="C130" s="7" t="s">
        <v>499</v>
      </c>
      <c r="D130" s="7" t="s">
        <v>1968</v>
      </c>
      <c r="E130" s="8" t="s">
        <v>294</v>
      </c>
      <c r="F130" s="52" t="s">
        <v>1969</v>
      </c>
      <c r="G130" s="7" t="str">
        <f t="shared" si="4"/>
        <v>117553140032@r6-1.deped.gov.ph</v>
      </c>
      <c r="H130" s="8" t="str">
        <f t="shared" si="5"/>
        <v>castillano,302731</v>
      </c>
      <c r="I130" t="s">
        <v>14</v>
      </c>
    </row>
    <row r="131" spans="1:9" ht="12.75">
      <c r="A131" s="2">
        <v>128</v>
      </c>
      <c r="B131" s="7" t="s">
        <v>1964</v>
      </c>
      <c r="C131" s="7" t="s">
        <v>1970</v>
      </c>
      <c r="D131" s="7" t="s">
        <v>1971</v>
      </c>
      <c r="E131" s="8" t="s">
        <v>309</v>
      </c>
      <c r="F131" s="8">
        <v>117553140032</v>
      </c>
      <c r="G131" s="7" t="str">
        <f t="shared" si="4"/>
        <v>117553140032@r6-1.deped.gov.ph</v>
      </c>
      <c r="H131" s="8" t="str">
        <f t="shared" si="5"/>
        <v>custodio,302731</v>
      </c>
      <c r="I131" t="s">
        <v>46</v>
      </c>
    </row>
    <row r="132" spans="1:9" ht="12.75">
      <c r="A132" s="2">
        <v>129</v>
      </c>
      <c r="B132" s="7" t="s">
        <v>1964</v>
      </c>
      <c r="C132" s="7" t="s">
        <v>1972</v>
      </c>
      <c r="D132" s="7" t="s">
        <v>1973</v>
      </c>
      <c r="E132" s="8" t="s">
        <v>263</v>
      </c>
      <c r="F132" s="8">
        <v>109397150013</v>
      </c>
      <c r="G132" s="7" t="str">
        <f t="shared" si="4"/>
        <v>109397150013@r6-1.deped.gov.ph</v>
      </c>
      <c r="H132" s="8" t="str">
        <f t="shared" si="5"/>
        <v>de vileena,302731</v>
      </c>
      <c r="I132" t="s">
        <v>14</v>
      </c>
    </row>
    <row r="133" spans="1:9" ht="12.75">
      <c r="A133" s="2">
        <v>130</v>
      </c>
      <c r="B133" s="7" t="s">
        <v>1964</v>
      </c>
      <c r="C133" s="7" t="s">
        <v>378</v>
      </c>
      <c r="D133" s="7" t="s">
        <v>1974</v>
      </c>
      <c r="E133" s="8" t="s">
        <v>268</v>
      </c>
      <c r="F133" s="8">
        <v>117554150080</v>
      </c>
      <c r="G133" s="7" t="str">
        <f t="shared" si="4"/>
        <v>117554150080@r6-1.deped.gov.ph</v>
      </c>
      <c r="H133" s="8" t="str">
        <f t="shared" si="5"/>
        <v>diola,302731</v>
      </c>
      <c r="I133" t="s">
        <v>14</v>
      </c>
    </row>
    <row r="134" spans="1:9" ht="12.75">
      <c r="A134" s="2">
        <v>131</v>
      </c>
      <c r="B134" s="7" t="s">
        <v>1964</v>
      </c>
      <c r="C134" s="7" t="s">
        <v>1819</v>
      </c>
      <c r="D134" s="7" t="s">
        <v>1975</v>
      </c>
      <c r="E134" s="8" t="s">
        <v>242</v>
      </c>
      <c r="F134" s="8">
        <v>117568150005</v>
      </c>
      <c r="G134" s="7" t="str">
        <f t="shared" si="4"/>
        <v>117568150005@r6-1.deped.gov.ph</v>
      </c>
      <c r="H134" s="8" t="str">
        <f t="shared" si="5"/>
        <v>gamao,302731</v>
      </c>
      <c r="I134" t="s">
        <v>14</v>
      </c>
    </row>
    <row r="135" spans="1:9" ht="12.75">
      <c r="A135" s="2">
        <v>132</v>
      </c>
      <c r="B135" s="7" t="s">
        <v>1964</v>
      </c>
      <c r="C135" s="7" t="s">
        <v>1976</v>
      </c>
      <c r="D135" s="7" t="s">
        <v>1977</v>
      </c>
      <c r="E135" s="8" t="s">
        <v>361</v>
      </c>
      <c r="F135" s="8">
        <v>117550130026</v>
      </c>
      <c r="G135" s="7" t="str">
        <f t="shared" ref="G135:G159" si="6">IF(F135="","",F135&amp;"@r6-1.deped.gov.ph")</f>
        <v>117550130026@r6-1.deped.gov.ph</v>
      </c>
      <c r="H135" s="8" t="str">
        <f t="shared" si="5"/>
        <v>genegobis,302731</v>
      </c>
      <c r="I135" t="s">
        <v>14</v>
      </c>
    </row>
    <row r="136" spans="1:9" ht="12.75">
      <c r="A136" s="2">
        <v>133</v>
      </c>
      <c r="B136" s="7" t="s">
        <v>1964</v>
      </c>
      <c r="C136" s="7" t="s">
        <v>644</v>
      </c>
      <c r="D136" s="7" t="s">
        <v>1201</v>
      </c>
      <c r="E136" s="8" t="s">
        <v>320</v>
      </c>
      <c r="F136" s="8">
        <v>117568140017</v>
      </c>
      <c r="G136" s="7" t="str">
        <f t="shared" si="6"/>
        <v>117568140017@r6-1.deped.gov.ph</v>
      </c>
      <c r="H136" s="8" t="str">
        <f t="shared" si="5"/>
        <v>gomez,302731</v>
      </c>
      <c r="I136" t="s">
        <v>14</v>
      </c>
    </row>
    <row r="137" spans="1:9" ht="12.75">
      <c r="A137" s="2">
        <v>134</v>
      </c>
      <c r="B137" s="7" t="s">
        <v>1964</v>
      </c>
      <c r="C137" s="7" t="s">
        <v>803</v>
      </c>
      <c r="D137" s="7" t="s">
        <v>1770</v>
      </c>
      <c r="E137" s="8" t="s">
        <v>252</v>
      </c>
      <c r="F137" s="8">
        <v>117553150072</v>
      </c>
      <c r="G137" s="7" t="str">
        <f t="shared" si="6"/>
        <v>117553150072@r6-1.deped.gov.ph</v>
      </c>
      <c r="H137" s="8" t="str">
        <f t="shared" si="5"/>
        <v>jasmin,302731</v>
      </c>
      <c r="I137" t="s">
        <v>14</v>
      </c>
    </row>
    <row r="138" spans="1:9" ht="12.75">
      <c r="A138" s="2">
        <v>135</v>
      </c>
      <c r="B138" s="7" t="s">
        <v>1964</v>
      </c>
      <c r="C138" s="7" t="s">
        <v>1583</v>
      </c>
      <c r="D138" s="7" t="s">
        <v>1978</v>
      </c>
      <c r="E138" s="8" t="s">
        <v>309</v>
      </c>
      <c r="F138" s="8">
        <v>117552150001</v>
      </c>
      <c r="G138" s="7" t="str">
        <f t="shared" si="6"/>
        <v>117552150001@r6-1.deped.gov.ph</v>
      </c>
      <c r="H138" s="8" t="str">
        <f t="shared" si="5"/>
        <v>lopez,302731</v>
      </c>
      <c r="I138" t="s">
        <v>14</v>
      </c>
    </row>
    <row r="139" spans="1:9" ht="12.75">
      <c r="A139" s="2">
        <v>136</v>
      </c>
      <c r="B139" s="7" t="s">
        <v>1964</v>
      </c>
      <c r="C139" s="7" t="s">
        <v>1873</v>
      </c>
      <c r="D139" s="7" t="s">
        <v>1979</v>
      </c>
      <c r="E139" s="8" t="s">
        <v>268</v>
      </c>
      <c r="F139" s="8">
        <v>117555150005</v>
      </c>
      <c r="G139" s="7" t="str">
        <f t="shared" si="6"/>
        <v>117555150005@r6-1.deped.gov.ph</v>
      </c>
      <c r="H139" s="8" t="str">
        <f t="shared" si="5"/>
        <v>matus,302731</v>
      </c>
      <c r="I139" t="s">
        <v>14</v>
      </c>
    </row>
    <row r="140" spans="1:9" ht="12.75">
      <c r="A140" s="2">
        <v>137</v>
      </c>
      <c r="B140" s="7" t="s">
        <v>1964</v>
      </c>
      <c r="C140" s="7" t="s">
        <v>1875</v>
      </c>
      <c r="D140" s="7" t="s">
        <v>1980</v>
      </c>
      <c r="E140" s="8" t="s">
        <v>252</v>
      </c>
      <c r="F140" s="8">
        <v>117550150008</v>
      </c>
      <c r="G140" s="7" t="str">
        <f t="shared" si="6"/>
        <v>117550150008@r6-1.deped.gov.ph</v>
      </c>
      <c r="H140" s="8" t="str">
        <f t="shared" si="5"/>
        <v>padayogdog,302731</v>
      </c>
      <c r="I140" t="s">
        <v>14</v>
      </c>
    </row>
    <row r="141" spans="1:9" ht="12.75">
      <c r="A141" s="2">
        <v>138</v>
      </c>
      <c r="B141" s="7" t="s">
        <v>1964</v>
      </c>
      <c r="C141" s="7" t="s">
        <v>1881</v>
      </c>
      <c r="D141" s="7" t="s">
        <v>1981</v>
      </c>
      <c r="E141" s="8" t="s">
        <v>257</v>
      </c>
      <c r="F141" s="8">
        <v>117553150015</v>
      </c>
      <c r="G141" s="7" t="str">
        <f t="shared" si="6"/>
        <v>117553150015@r6-1.deped.gov.ph</v>
      </c>
      <c r="H141" s="8" t="str">
        <f t="shared" si="5"/>
        <v>repal,302731</v>
      </c>
      <c r="I141" t="s">
        <v>14</v>
      </c>
    </row>
    <row r="142" spans="1:9" ht="12.75">
      <c r="A142" s="2">
        <v>139</v>
      </c>
      <c r="B142" s="7" t="s">
        <v>1964</v>
      </c>
      <c r="C142" s="7" t="s">
        <v>1982</v>
      </c>
      <c r="D142" s="7" t="s">
        <v>1983</v>
      </c>
      <c r="E142" s="8" t="s">
        <v>309</v>
      </c>
      <c r="F142" s="8">
        <v>117568150011</v>
      </c>
      <c r="G142" s="7" t="str">
        <f t="shared" si="6"/>
        <v>117568150011@r6-1.deped.gov.ph</v>
      </c>
      <c r="H142" s="8" t="str">
        <f t="shared" si="5"/>
        <v>sevilla,302731</v>
      </c>
      <c r="I142" t="s">
        <v>14</v>
      </c>
    </row>
    <row r="143" spans="1:9" ht="12.75">
      <c r="A143" s="2">
        <v>140</v>
      </c>
      <c r="B143" s="7" t="s">
        <v>1964</v>
      </c>
      <c r="C143" s="7" t="s">
        <v>1984</v>
      </c>
      <c r="D143" s="7" t="s">
        <v>107</v>
      </c>
      <c r="E143" s="8" t="s">
        <v>263</v>
      </c>
      <c r="F143" s="8">
        <v>117455130256</v>
      </c>
      <c r="G143" s="7" t="str">
        <f t="shared" si="6"/>
        <v>117455130256@r6-1.deped.gov.ph</v>
      </c>
      <c r="H143" s="8" t="str">
        <f t="shared" si="5"/>
        <v>simbajon,302731</v>
      </c>
      <c r="I143" t="s">
        <v>46</v>
      </c>
    </row>
    <row r="144" spans="1:9" ht="12.75">
      <c r="A144" s="2">
        <v>141</v>
      </c>
      <c r="B144" s="7" t="s">
        <v>1964</v>
      </c>
      <c r="C144" s="7" t="s">
        <v>1985</v>
      </c>
      <c r="D144" s="7" t="s">
        <v>1986</v>
      </c>
      <c r="E144" s="8" t="s">
        <v>309</v>
      </c>
      <c r="F144" s="8">
        <v>117553150063</v>
      </c>
      <c r="G144" s="7" t="str">
        <f t="shared" si="6"/>
        <v>117553150063@r6-1.deped.gov.ph</v>
      </c>
      <c r="H144" s="8" t="str">
        <f t="shared" si="5"/>
        <v>villar,302731</v>
      </c>
      <c r="I144" t="s">
        <v>14</v>
      </c>
    </row>
    <row r="145" spans="1:9" ht="12.75">
      <c r="A145" s="2">
        <v>142</v>
      </c>
      <c r="B145" s="7" t="s">
        <v>1964</v>
      </c>
      <c r="C145" s="7" t="s">
        <v>1758</v>
      </c>
      <c r="D145" s="7" t="s">
        <v>740</v>
      </c>
      <c r="E145" s="8" t="s">
        <v>257</v>
      </c>
      <c r="F145" s="8">
        <v>117553150040</v>
      </c>
      <c r="G145" s="7" t="str">
        <f t="shared" si="6"/>
        <v>117553150040@r6-1.deped.gov.ph</v>
      </c>
      <c r="H145" s="8" t="str">
        <f t="shared" si="5"/>
        <v>alegre,302731</v>
      </c>
      <c r="I145" t="s">
        <v>14</v>
      </c>
    </row>
    <row r="146" spans="1:9" ht="12.75">
      <c r="A146" s="2">
        <v>143</v>
      </c>
      <c r="B146" s="7" t="s">
        <v>1964</v>
      </c>
      <c r="C146" s="7" t="s">
        <v>1987</v>
      </c>
      <c r="D146" s="7" t="s">
        <v>1988</v>
      </c>
      <c r="E146" s="8" t="s">
        <v>231</v>
      </c>
      <c r="F146" s="8">
        <v>117418150103</v>
      </c>
      <c r="G146" s="7" t="str">
        <f t="shared" si="6"/>
        <v>117418150103@r6-1.deped.gov.ph</v>
      </c>
      <c r="H146" s="8" t="str">
        <f t="shared" si="5"/>
        <v>balino,302731</v>
      </c>
      <c r="I146" t="s">
        <v>14</v>
      </c>
    </row>
    <row r="147" spans="1:9" ht="12.75">
      <c r="A147" s="2">
        <v>144</v>
      </c>
      <c r="B147" s="7" t="s">
        <v>1964</v>
      </c>
      <c r="C147" s="7" t="s">
        <v>1989</v>
      </c>
      <c r="D147" s="7" t="s">
        <v>1782</v>
      </c>
      <c r="E147" s="8" t="s">
        <v>255</v>
      </c>
      <c r="F147" s="8">
        <v>117553150021</v>
      </c>
      <c r="G147" s="7" t="str">
        <f t="shared" si="6"/>
        <v>117553150021@r6-1.deped.gov.ph</v>
      </c>
      <c r="H147" s="8" t="str">
        <f t="shared" si="5"/>
        <v>eran,302731</v>
      </c>
      <c r="I147" t="s">
        <v>14</v>
      </c>
    </row>
    <row r="148" spans="1:9" ht="12.75">
      <c r="A148" s="2">
        <v>145</v>
      </c>
      <c r="B148" s="7" t="s">
        <v>1964</v>
      </c>
      <c r="C148" s="7" t="s">
        <v>32</v>
      </c>
      <c r="D148" s="7" t="s">
        <v>1990</v>
      </c>
      <c r="E148" s="8" t="s">
        <v>268</v>
      </c>
      <c r="F148" s="8">
        <v>130781150098</v>
      </c>
      <c r="G148" s="7" t="str">
        <f t="shared" si="6"/>
        <v>130781150098@r6-1.deped.gov.ph</v>
      </c>
      <c r="H148" s="8" t="str">
        <f t="shared" si="5"/>
        <v>espinosa,302731</v>
      </c>
      <c r="I148" t="s">
        <v>14</v>
      </c>
    </row>
    <row r="149" spans="1:9" ht="12.75">
      <c r="A149" s="2">
        <v>146</v>
      </c>
      <c r="B149" s="7" t="s">
        <v>1964</v>
      </c>
      <c r="C149" s="7" t="s">
        <v>1991</v>
      </c>
      <c r="D149" s="7" t="s">
        <v>1992</v>
      </c>
      <c r="E149" s="8" t="s">
        <v>252</v>
      </c>
      <c r="F149" s="8">
        <v>117564150015</v>
      </c>
      <c r="G149" s="7" t="str">
        <f t="shared" si="6"/>
        <v>117564150015@r6-1.deped.gov.ph</v>
      </c>
      <c r="H149" s="8" t="str">
        <f t="shared" si="5"/>
        <v>incocencio,302731</v>
      </c>
      <c r="I149" t="s">
        <v>14</v>
      </c>
    </row>
    <row r="150" spans="1:9" ht="12.75">
      <c r="A150" s="2">
        <v>147</v>
      </c>
      <c r="B150" s="7" t="s">
        <v>1964</v>
      </c>
      <c r="C150" s="7" t="s">
        <v>1993</v>
      </c>
      <c r="D150" s="7" t="s">
        <v>1994</v>
      </c>
      <c r="E150" s="8" t="s">
        <v>252</v>
      </c>
      <c r="F150" s="8">
        <v>117553160021</v>
      </c>
      <c r="G150" s="7" t="str">
        <f t="shared" si="6"/>
        <v>117553160021@r6-1.deped.gov.ph</v>
      </c>
      <c r="H150" s="8" t="str">
        <f t="shared" si="5"/>
        <v>lapinosa,302731</v>
      </c>
      <c r="I150" t="s">
        <v>14</v>
      </c>
    </row>
    <row r="151" spans="1:9" ht="12.75">
      <c r="A151" s="2">
        <v>148</v>
      </c>
      <c r="B151" s="7" t="s">
        <v>1964</v>
      </c>
      <c r="C151" s="7" t="s">
        <v>1995</v>
      </c>
      <c r="D151" s="7" t="s">
        <v>1996</v>
      </c>
      <c r="E151" s="8" t="s">
        <v>263</v>
      </c>
      <c r="F151" s="8">
        <v>117553150026</v>
      </c>
      <c r="G151" s="7" t="str">
        <f t="shared" si="6"/>
        <v>117553150026@r6-1.deped.gov.ph</v>
      </c>
      <c r="H151" s="8" t="str">
        <f t="shared" si="5"/>
        <v>mercado,302731</v>
      </c>
      <c r="I151" t="s">
        <v>14</v>
      </c>
    </row>
    <row r="152" spans="1:9" ht="12.75">
      <c r="A152" s="2">
        <v>149</v>
      </c>
      <c r="B152" s="7" t="s">
        <v>1964</v>
      </c>
      <c r="C152" s="7" t="s">
        <v>1997</v>
      </c>
      <c r="D152" s="7" t="s">
        <v>1998</v>
      </c>
      <c r="E152" s="8" t="s">
        <v>245</v>
      </c>
      <c r="F152" s="8">
        <v>107409140129</v>
      </c>
      <c r="G152" s="7" t="str">
        <f t="shared" si="6"/>
        <v>107409140129@r6-1.deped.gov.ph</v>
      </c>
      <c r="H152" s="8" t="str">
        <f t="shared" si="5"/>
        <v>miramontes,302731</v>
      </c>
      <c r="I152" t="s">
        <v>14</v>
      </c>
    </row>
    <row r="153" spans="1:9" ht="12.75">
      <c r="A153" s="2">
        <v>150</v>
      </c>
      <c r="B153" s="7" t="s">
        <v>1964</v>
      </c>
      <c r="C153" s="7" t="s">
        <v>1999</v>
      </c>
      <c r="D153" s="7" t="s">
        <v>2000</v>
      </c>
      <c r="E153" s="8" t="s">
        <v>263</v>
      </c>
      <c r="F153" s="8">
        <v>117553130031</v>
      </c>
      <c r="G153" s="7" t="str">
        <f t="shared" si="6"/>
        <v>117553130031@r6-1.deped.gov.ph</v>
      </c>
      <c r="H153" s="8" t="str">
        <f t="shared" si="5"/>
        <v>monteagudo,302731</v>
      </c>
      <c r="I153" t="s">
        <v>14</v>
      </c>
    </row>
    <row r="154" spans="1:9" ht="12.75">
      <c r="A154" s="2">
        <v>151</v>
      </c>
      <c r="B154" s="7" t="s">
        <v>1964</v>
      </c>
      <c r="C154" s="7" t="s">
        <v>2001</v>
      </c>
      <c r="D154" s="7" t="s">
        <v>2002</v>
      </c>
      <c r="E154" s="8" t="s">
        <v>361</v>
      </c>
      <c r="F154" s="8">
        <v>117549150013</v>
      </c>
      <c r="G154" s="7" t="str">
        <f t="shared" si="6"/>
        <v>117549150013@r6-1.deped.gov.ph</v>
      </c>
      <c r="H154" s="8" t="str">
        <f t="shared" si="5"/>
        <v>paguidian,302731</v>
      </c>
      <c r="I154" t="s">
        <v>14</v>
      </c>
    </row>
    <row r="155" spans="1:9" ht="12.75">
      <c r="A155" s="2">
        <v>152</v>
      </c>
      <c r="B155" s="7" t="s">
        <v>1964</v>
      </c>
      <c r="C155" s="7" t="s">
        <v>219</v>
      </c>
      <c r="D155" s="7" t="s">
        <v>210</v>
      </c>
      <c r="E155" s="8" t="s">
        <v>361</v>
      </c>
      <c r="F155" s="8">
        <v>117555150015</v>
      </c>
      <c r="G155" s="7" t="str">
        <f t="shared" si="6"/>
        <v>117555150015@r6-1.deped.gov.ph</v>
      </c>
      <c r="H155" s="8" t="str">
        <f t="shared" si="5"/>
        <v>penaflor,302731</v>
      </c>
      <c r="I155" t="s">
        <v>14</v>
      </c>
    </row>
    <row r="156" spans="1:9" ht="12.75">
      <c r="A156" s="2">
        <v>153</v>
      </c>
      <c r="B156" s="7" t="s">
        <v>1964</v>
      </c>
      <c r="C156" s="7" t="s">
        <v>1982</v>
      </c>
      <c r="D156" s="7" t="s">
        <v>2003</v>
      </c>
      <c r="E156" s="8" t="s">
        <v>257</v>
      </c>
      <c r="F156" s="8">
        <v>117553150045</v>
      </c>
      <c r="G156" s="7" t="str">
        <f t="shared" si="6"/>
        <v>117553150045@r6-1.deped.gov.ph</v>
      </c>
      <c r="H156" s="8" t="str">
        <f t="shared" si="5"/>
        <v>sevilla,302731</v>
      </c>
      <c r="I156" t="s">
        <v>14</v>
      </c>
    </row>
    <row r="157" spans="1:9" ht="12.75">
      <c r="A157" s="2">
        <v>154</v>
      </c>
      <c r="B157" s="7" t="s">
        <v>1964</v>
      </c>
      <c r="C157" s="7" t="s">
        <v>2004</v>
      </c>
      <c r="D157" s="7" t="s">
        <v>588</v>
      </c>
      <c r="E157" s="8" t="s">
        <v>231</v>
      </c>
      <c r="F157" s="8">
        <v>117553150025</v>
      </c>
      <c r="G157" s="7" t="str">
        <f t="shared" si="6"/>
        <v>117553150025@r6-1.deped.gov.ph</v>
      </c>
      <c r="H157" s="8" t="str">
        <f t="shared" si="5"/>
        <v>teguihanon,302731</v>
      </c>
      <c r="I157" t="s">
        <v>14</v>
      </c>
    </row>
    <row r="158" spans="1:9" ht="12.75">
      <c r="A158" s="2">
        <v>155</v>
      </c>
      <c r="B158" s="7" t="s">
        <v>1964</v>
      </c>
      <c r="C158" s="7" t="s">
        <v>2005</v>
      </c>
      <c r="D158" s="7" t="s">
        <v>2006</v>
      </c>
      <c r="E158" s="8" t="s">
        <v>294</v>
      </c>
      <c r="F158" s="8">
        <v>121550130131</v>
      </c>
      <c r="G158" s="7" t="str">
        <f t="shared" si="6"/>
        <v>121550130131@r6-1.deped.gov.ph</v>
      </c>
      <c r="H158" s="8" t="str">
        <f t="shared" si="5"/>
        <v>tugunon,302731</v>
      </c>
      <c r="I158" t="s">
        <v>14</v>
      </c>
    </row>
    <row r="159" spans="1:9" ht="12.75">
      <c r="A159" s="2">
        <v>156</v>
      </c>
      <c r="B159" s="7" t="s">
        <v>1964</v>
      </c>
      <c r="C159" s="7" t="s">
        <v>157</v>
      </c>
      <c r="D159" s="7" t="s">
        <v>1405</v>
      </c>
      <c r="E159" s="8" t="s">
        <v>300</v>
      </c>
      <c r="F159" s="8">
        <v>117550150022</v>
      </c>
      <c r="G159" s="7" t="str">
        <f t="shared" si="6"/>
        <v>117550150022@r6-1.deped.gov.ph</v>
      </c>
      <c r="H159" s="8" t="str">
        <f t="shared" si="5"/>
        <v>villasor,302731</v>
      </c>
      <c r="I159" t="s">
        <v>14</v>
      </c>
    </row>
    <row r="160" spans="1:9" ht="12.75">
      <c r="A160" s="2">
        <v>157</v>
      </c>
      <c r="B160" s="7"/>
      <c r="C160" s="7"/>
      <c r="D160" s="7"/>
      <c r="E160" s="8"/>
      <c r="F160" s="8"/>
      <c r="G160" s="7" t="str">
        <f t="shared" ref="G160:G414" si="7">IF(F160="","",F160&amp;"@r6-1.deped.gov.ph")</f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7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7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7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7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7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7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7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7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7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7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7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7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7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7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7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7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7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7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7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7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7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7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7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7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7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7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7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7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7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7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7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7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7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7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7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7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7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7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7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7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7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7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7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7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7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7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7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7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7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7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7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7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7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7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7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7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7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7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7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7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7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7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7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7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7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7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7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7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7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7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7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7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7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7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7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7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7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7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7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7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7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7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7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7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7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7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7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7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7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7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7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7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7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7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7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7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7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7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7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7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7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7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7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7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7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7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7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7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7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7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7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7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7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7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7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7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7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7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7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7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7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7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7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7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7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7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7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7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7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7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7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7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7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7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7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7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7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7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7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7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7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7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7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7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7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7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7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7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7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7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7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7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7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7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7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7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7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7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7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7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7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7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7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7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7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7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7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7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7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7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7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7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7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7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7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7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7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7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7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7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7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7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7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7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7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7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7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7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7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7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7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7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7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7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7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7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7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7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7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7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7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7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7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7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7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7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7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7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7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7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7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7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7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7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7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7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7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7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7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7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7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7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7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7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7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7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7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7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7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7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7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7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7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7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7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7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7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7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7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7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7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7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7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7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7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7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7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7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7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7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7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7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7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7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ref="G415:G503" si="8">IF(F415="","",F415&amp;"@r6-1.deped.gov.ph")</f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8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8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8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8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8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8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8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8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8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8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8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8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8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8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8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8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8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8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8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8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8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8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8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8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8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8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8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8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8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8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8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8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8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8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8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8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8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8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8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8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8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8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8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8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8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8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8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8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8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8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8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8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8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8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8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8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8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8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8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8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8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8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8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8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8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8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8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8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8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8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8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8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8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8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8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8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8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8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8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8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8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8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8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8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8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8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8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8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002"/>
  <sheetViews>
    <sheetView topLeftCell="D1" workbookViewId="0">
      <pane ySplit="3" topLeftCell="A22" activePane="bottomLeft" state="frozen"/>
      <selection pane="bottomLeft" activeCell="I25" sqref="I2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2007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2008</v>
      </c>
      <c r="C4" s="7" t="s">
        <v>2009</v>
      </c>
      <c r="D4" s="7" t="s">
        <v>2010</v>
      </c>
      <c r="E4" s="8" t="s">
        <v>242</v>
      </c>
      <c r="F4" s="8">
        <v>117530150036</v>
      </c>
      <c r="G4" s="7" t="str">
        <f t="shared" ref="G4:G258" si="0">IF(F4="","",F4&amp;"@r6-1.deped.gov.ph")</f>
        <v>117530150036@r6-1.deped.gov.ph</v>
      </c>
      <c r="H4" s="8" t="str">
        <f>IF(C4="","",LOWER(C4)&amp;",117530")</f>
        <v>abian,117530</v>
      </c>
      <c r="I4" t="s">
        <v>14</v>
      </c>
    </row>
    <row r="5" spans="1:11" ht="12.75">
      <c r="A5" s="2">
        <v>2</v>
      </c>
      <c r="B5" s="7" t="s">
        <v>2008</v>
      </c>
      <c r="C5" s="7" t="s">
        <v>2011</v>
      </c>
      <c r="D5" s="7" t="s">
        <v>2012</v>
      </c>
      <c r="E5" s="8" t="s">
        <v>361</v>
      </c>
      <c r="F5" s="8">
        <v>117530140033</v>
      </c>
      <c r="G5" s="7" t="str">
        <f t="shared" si="0"/>
        <v>117530140033@r6-1.deped.gov.ph</v>
      </c>
      <c r="H5" s="8" t="str">
        <f t="shared" ref="H5:H37" si="1">IF(C5="","",LOWER(C5)&amp;",117530")</f>
        <v>alad,117530</v>
      </c>
      <c r="I5" t="s">
        <v>14</v>
      </c>
    </row>
    <row r="6" spans="1:11" ht="12.75">
      <c r="A6" s="2">
        <v>3</v>
      </c>
      <c r="B6" s="7" t="s">
        <v>2008</v>
      </c>
      <c r="C6" s="7" t="s">
        <v>2013</v>
      </c>
      <c r="D6" s="7" t="s">
        <v>2014</v>
      </c>
      <c r="E6" s="8" t="s">
        <v>252</v>
      </c>
      <c r="F6" s="8">
        <v>117530150035</v>
      </c>
      <c r="G6" s="7" t="str">
        <f t="shared" si="0"/>
        <v>117530150035@r6-1.deped.gov.ph</v>
      </c>
      <c r="H6" s="8" t="str">
        <f t="shared" si="1"/>
        <v>beldia,117530</v>
      </c>
      <c r="I6" t="s">
        <v>14</v>
      </c>
    </row>
    <row r="7" spans="1:11" ht="12.75">
      <c r="A7" s="2">
        <v>4</v>
      </c>
      <c r="B7" s="7" t="s">
        <v>2008</v>
      </c>
      <c r="C7" s="7" t="s">
        <v>2015</v>
      </c>
      <c r="D7" s="7" t="s">
        <v>875</v>
      </c>
      <c r="E7" s="8" t="s">
        <v>234</v>
      </c>
      <c r="F7" s="8">
        <v>125470150006</v>
      </c>
      <c r="G7" s="7" t="str">
        <f t="shared" si="0"/>
        <v>125470150006@r6-1.deped.gov.ph</v>
      </c>
      <c r="H7" s="8" t="str">
        <f t="shared" si="1"/>
        <v>bertoldo,117530</v>
      </c>
      <c r="I7" t="s">
        <v>14</v>
      </c>
    </row>
    <row r="8" spans="1:11" ht="12.75">
      <c r="A8" s="2">
        <v>5</v>
      </c>
      <c r="B8" s="7" t="s">
        <v>2008</v>
      </c>
      <c r="C8" s="7" t="s">
        <v>2016</v>
      </c>
      <c r="D8" s="7" t="s">
        <v>2017</v>
      </c>
      <c r="E8" s="8" t="s">
        <v>268</v>
      </c>
      <c r="F8" s="8">
        <v>117530150017</v>
      </c>
      <c r="G8" s="7" t="str">
        <f t="shared" si="0"/>
        <v>117530150017@r6-1.deped.gov.ph</v>
      </c>
      <c r="H8" s="8" t="str">
        <f t="shared" si="1"/>
        <v>manggay,117530</v>
      </c>
      <c r="I8" t="s">
        <v>14</v>
      </c>
    </row>
    <row r="9" spans="1:11" ht="12.75">
      <c r="A9" s="2">
        <v>6</v>
      </c>
      <c r="B9" s="7" t="s">
        <v>2008</v>
      </c>
      <c r="C9" s="7" t="s">
        <v>1251</v>
      </c>
      <c r="D9" s="7" t="s">
        <v>2018</v>
      </c>
      <c r="E9" s="8" t="s">
        <v>268</v>
      </c>
      <c r="F9" s="8">
        <v>117533150016</v>
      </c>
      <c r="G9" s="7" t="str">
        <f t="shared" si="0"/>
        <v>117533150016@r6-1.deped.gov.ph</v>
      </c>
      <c r="H9" s="8" t="str">
        <f t="shared" si="1"/>
        <v>panganiban,117530</v>
      </c>
      <c r="I9" t="s">
        <v>46</v>
      </c>
    </row>
    <row r="10" spans="1:11" ht="12.75">
      <c r="A10" s="2">
        <v>7</v>
      </c>
      <c r="B10" s="7" t="s">
        <v>2008</v>
      </c>
      <c r="C10" s="7" t="s">
        <v>2019</v>
      </c>
      <c r="D10" s="7" t="s">
        <v>2020</v>
      </c>
      <c r="E10" s="8" t="s">
        <v>260</v>
      </c>
      <c r="F10" s="8">
        <v>117530150001</v>
      </c>
      <c r="G10" s="7" t="str">
        <f t="shared" si="0"/>
        <v>117530150001@r6-1.deped.gov.ph</v>
      </c>
      <c r="H10" s="8" t="str">
        <f t="shared" si="1"/>
        <v>policarpio,117530</v>
      </c>
      <c r="I10" t="s">
        <v>14</v>
      </c>
    </row>
    <row r="11" spans="1:11" ht="12.75">
      <c r="A11" s="2">
        <v>8</v>
      </c>
      <c r="B11" s="7" t="s">
        <v>2008</v>
      </c>
      <c r="C11" s="7" t="s">
        <v>2021</v>
      </c>
      <c r="D11" s="7" t="s">
        <v>2022</v>
      </c>
      <c r="E11" s="8" t="s">
        <v>242</v>
      </c>
      <c r="F11" s="8">
        <v>117533150013</v>
      </c>
      <c r="G11" s="7" t="str">
        <f t="shared" si="0"/>
        <v>117533150013@r6-1.deped.gov.ph</v>
      </c>
      <c r="H11" s="8" t="str">
        <f t="shared" si="1"/>
        <v>tirol,117530</v>
      </c>
      <c r="I11" t="s">
        <v>46</v>
      </c>
    </row>
    <row r="12" spans="1:11" ht="12.75">
      <c r="A12" s="2">
        <v>9</v>
      </c>
      <c r="B12" s="7" t="s">
        <v>2008</v>
      </c>
      <c r="C12" s="7" t="s">
        <v>2023</v>
      </c>
      <c r="D12" s="7" t="s">
        <v>2024</v>
      </c>
      <c r="E12" s="8" t="s">
        <v>255</v>
      </c>
      <c r="F12" s="8">
        <v>117530140039</v>
      </c>
      <c r="G12" s="7" t="str">
        <f t="shared" si="0"/>
        <v>117530140039@r6-1.deped.gov.ph</v>
      </c>
      <c r="H12" s="8" t="str">
        <f t="shared" si="1"/>
        <v>toledo,117530</v>
      </c>
      <c r="I12" t="s">
        <v>46</v>
      </c>
    </row>
    <row r="13" spans="1:11" ht="12.75">
      <c r="A13" s="2">
        <v>10</v>
      </c>
      <c r="B13" s="7" t="s">
        <v>2008</v>
      </c>
      <c r="C13" s="7" t="s">
        <v>403</v>
      </c>
      <c r="D13" s="7" t="s">
        <v>2025</v>
      </c>
      <c r="E13" s="8" t="s">
        <v>255</v>
      </c>
      <c r="F13" s="8">
        <v>117530150012</v>
      </c>
      <c r="G13" s="7" t="str">
        <f t="shared" si="0"/>
        <v>117530150012@r6-1.deped.gov.ph</v>
      </c>
      <c r="H13" s="8" t="str">
        <f t="shared" si="1"/>
        <v>villanueva,117530</v>
      </c>
      <c r="I13" t="s">
        <v>14</v>
      </c>
    </row>
    <row r="14" spans="1:11" ht="12.75">
      <c r="A14" s="2">
        <v>11</v>
      </c>
      <c r="B14" s="7" t="s">
        <v>2008</v>
      </c>
      <c r="C14" s="7" t="s">
        <v>1591</v>
      </c>
      <c r="D14" s="7" t="s">
        <v>2026</v>
      </c>
      <c r="E14" s="8" t="s">
        <v>294</v>
      </c>
      <c r="F14" s="8">
        <v>117530150007</v>
      </c>
      <c r="G14" s="7" t="str">
        <f t="shared" si="0"/>
        <v>117530150007@r6-1.deped.gov.ph</v>
      </c>
      <c r="H14" s="8" t="str">
        <f t="shared" si="1"/>
        <v>yago,117530</v>
      </c>
      <c r="I14" t="s">
        <v>14</v>
      </c>
    </row>
    <row r="15" spans="1:11" ht="12.75">
      <c r="A15" s="2">
        <v>12</v>
      </c>
      <c r="B15" s="7" t="s">
        <v>2008</v>
      </c>
      <c r="C15" s="7" t="s">
        <v>2027</v>
      </c>
      <c r="D15" s="7" t="s">
        <v>2028</v>
      </c>
      <c r="E15" s="8" t="s">
        <v>300</v>
      </c>
      <c r="F15" s="8">
        <v>117533150012</v>
      </c>
      <c r="G15" s="7" t="str">
        <f t="shared" si="0"/>
        <v>117533150012@r6-1.deped.gov.ph</v>
      </c>
      <c r="H15" s="8" t="str">
        <f t="shared" si="1"/>
        <v>agabon,117530</v>
      </c>
      <c r="I15" t="s">
        <v>46</v>
      </c>
    </row>
    <row r="16" spans="1:11" ht="12.75">
      <c r="A16" s="2">
        <v>13</v>
      </c>
      <c r="B16" s="7" t="s">
        <v>2008</v>
      </c>
      <c r="C16" s="7" t="s">
        <v>2029</v>
      </c>
      <c r="D16" s="7" t="s">
        <v>2030</v>
      </c>
      <c r="E16" s="8" t="s">
        <v>239</v>
      </c>
      <c r="F16" s="8">
        <v>117530150010</v>
      </c>
      <c r="G16" s="7" t="str">
        <f t="shared" si="0"/>
        <v>117530150010@r6-1.deped.gov.ph</v>
      </c>
      <c r="H16" s="8" t="str">
        <f t="shared" si="1"/>
        <v>babarano,117530</v>
      </c>
      <c r="I16" t="s">
        <v>14</v>
      </c>
    </row>
    <row r="17" spans="1:9" ht="12.75">
      <c r="A17" s="2">
        <v>14</v>
      </c>
      <c r="B17" s="7" t="s">
        <v>2008</v>
      </c>
      <c r="C17" s="7" t="s">
        <v>2031</v>
      </c>
      <c r="D17" s="7" t="s">
        <v>2032</v>
      </c>
      <c r="E17" s="8" t="s">
        <v>309</v>
      </c>
      <c r="F17" s="8">
        <v>117730150028</v>
      </c>
      <c r="G17" s="7" t="str">
        <f t="shared" si="0"/>
        <v>117730150028@r6-1.deped.gov.ph</v>
      </c>
      <c r="H17" s="8" t="str">
        <f t="shared" si="1"/>
        <v>cargatan,117530</v>
      </c>
      <c r="I17" t="s">
        <v>46</v>
      </c>
    </row>
    <row r="18" spans="1:9" ht="12.75">
      <c r="A18" s="2">
        <v>15</v>
      </c>
      <c r="B18" s="7" t="s">
        <v>2008</v>
      </c>
      <c r="C18" s="7" t="s">
        <v>2033</v>
      </c>
      <c r="D18" s="7" t="s">
        <v>2034</v>
      </c>
      <c r="E18" s="8" t="s">
        <v>239</v>
      </c>
      <c r="F18" s="8">
        <v>117533150024</v>
      </c>
      <c r="G18" s="7" t="str">
        <f t="shared" si="0"/>
        <v>117533150024@r6-1.deped.gov.ph</v>
      </c>
      <c r="H18" s="8" t="str">
        <f t="shared" si="1"/>
        <v>dada,117530</v>
      </c>
      <c r="I18" t="s">
        <v>46</v>
      </c>
    </row>
    <row r="19" spans="1:9" ht="12.75">
      <c r="A19" s="2">
        <v>16</v>
      </c>
      <c r="B19" s="7" t="s">
        <v>2008</v>
      </c>
      <c r="C19" s="7" t="s">
        <v>316</v>
      </c>
      <c r="D19" s="7" t="s">
        <v>2035</v>
      </c>
      <c r="E19" s="8" t="s">
        <v>268</v>
      </c>
      <c r="F19" s="8">
        <v>117696160063</v>
      </c>
      <c r="G19" s="7" t="str">
        <f t="shared" si="0"/>
        <v>117696160063@r6-1.deped.gov.ph</v>
      </c>
      <c r="H19" s="8" t="str">
        <f t="shared" si="1"/>
        <v>dela peña,117530</v>
      </c>
      <c r="I19" t="s">
        <v>14</v>
      </c>
    </row>
    <row r="20" spans="1:9" ht="12.75">
      <c r="A20" s="2">
        <v>17</v>
      </c>
      <c r="B20" s="7" t="s">
        <v>2008</v>
      </c>
      <c r="C20" s="7" t="s">
        <v>2036</v>
      </c>
      <c r="D20" s="7" t="s">
        <v>151</v>
      </c>
      <c r="E20" s="8" t="s">
        <v>257</v>
      </c>
      <c r="F20" s="8">
        <v>117530150021</v>
      </c>
      <c r="G20" s="7" t="str">
        <f t="shared" si="0"/>
        <v>117530150021@r6-1.deped.gov.ph</v>
      </c>
      <c r="H20" s="8" t="str">
        <f t="shared" si="1"/>
        <v>duerme,117530</v>
      </c>
      <c r="I20" t="s">
        <v>14</v>
      </c>
    </row>
    <row r="21" spans="1:9" ht="12.75">
      <c r="A21" s="2">
        <v>18</v>
      </c>
      <c r="B21" s="7" t="s">
        <v>2008</v>
      </c>
      <c r="C21" s="7" t="s">
        <v>2037</v>
      </c>
      <c r="D21" s="7" t="s">
        <v>2038</v>
      </c>
      <c r="E21" s="8" t="s">
        <v>245</v>
      </c>
      <c r="F21" s="8">
        <v>117530130066</v>
      </c>
      <c r="G21" s="7" t="str">
        <f t="shared" si="0"/>
        <v>117530130066@r6-1.deped.gov.ph</v>
      </c>
      <c r="H21" s="8" t="str">
        <f t="shared" si="1"/>
        <v>pabuaya,117530</v>
      </c>
      <c r="I21" t="s">
        <v>14</v>
      </c>
    </row>
    <row r="22" spans="1:9" ht="12.75">
      <c r="A22" s="2">
        <v>19</v>
      </c>
      <c r="B22" s="7" t="s">
        <v>2008</v>
      </c>
      <c r="C22" s="7" t="s">
        <v>2039</v>
      </c>
      <c r="D22" s="7" t="s">
        <v>2040</v>
      </c>
      <c r="E22" s="8" t="s">
        <v>234</v>
      </c>
      <c r="F22" s="8">
        <v>117533150027</v>
      </c>
      <c r="G22" s="7" t="str">
        <f t="shared" si="0"/>
        <v>117533150027@r6-1.deped.gov.ph</v>
      </c>
      <c r="H22" s="8" t="str">
        <f t="shared" si="1"/>
        <v>pabulaya,117530</v>
      </c>
      <c r="I22" t="s">
        <v>46</v>
      </c>
    </row>
    <row r="23" spans="1:9" ht="12.75">
      <c r="A23" s="2">
        <v>20</v>
      </c>
      <c r="B23" s="7" t="s">
        <v>2008</v>
      </c>
      <c r="C23" s="7" t="s">
        <v>2041</v>
      </c>
      <c r="D23" s="7" t="s">
        <v>2042</v>
      </c>
      <c r="E23" s="8" t="s">
        <v>361</v>
      </c>
      <c r="F23" s="8">
        <v>117530150009</v>
      </c>
      <c r="G23" s="7" t="str">
        <f t="shared" si="0"/>
        <v>117530150009@r6-1.deped.gov.ph</v>
      </c>
      <c r="H23" s="8" t="str">
        <f t="shared" si="1"/>
        <v>tabares,117530</v>
      </c>
      <c r="I23" t="s">
        <v>14</v>
      </c>
    </row>
    <row r="24" spans="1:9" ht="12.75">
      <c r="A24" s="2">
        <v>21</v>
      </c>
      <c r="B24" s="7" t="s">
        <v>2008</v>
      </c>
      <c r="C24" s="7" t="s">
        <v>2043</v>
      </c>
      <c r="D24" s="7" t="s">
        <v>2044</v>
      </c>
      <c r="E24" s="8" t="s">
        <v>231</v>
      </c>
      <c r="F24" s="8">
        <v>11753015000</v>
      </c>
      <c r="G24" s="7" t="str">
        <f t="shared" si="0"/>
        <v>11753015000@r6-1.deped.gov.ph</v>
      </c>
      <c r="H24" s="8" t="str">
        <f t="shared" si="1"/>
        <v>verbo,117530</v>
      </c>
      <c r="I24" t="s">
        <v>46</v>
      </c>
    </row>
    <row r="25" spans="1:9" ht="12.75">
      <c r="A25" s="2">
        <v>22</v>
      </c>
      <c r="B25" s="54" t="s">
        <v>2008</v>
      </c>
      <c r="C25" s="54" t="s">
        <v>2630</v>
      </c>
      <c r="D25" s="54" t="s">
        <v>2631</v>
      </c>
      <c r="E25" s="55"/>
      <c r="F25" s="55">
        <v>117530150020</v>
      </c>
      <c r="G25" s="54" t="s">
        <v>2632</v>
      </c>
      <c r="H25" s="8" t="str">
        <f t="shared" si="1"/>
        <v>besana,117530</v>
      </c>
    </row>
    <row r="26" spans="1:9" ht="12.75">
      <c r="A26" s="2">
        <v>23</v>
      </c>
      <c r="B26" s="54" t="s">
        <v>2008</v>
      </c>
      <c r="C26" s="54" t="s">
        <v>2633</v>
      </c>
      <c r="D26" s="54" t="s">
        <v>2634</v>
      </c>
      <c r="E26" s="55" t="s">
        <v>260</v>
      </c>
      <c r="F26" s="55">
        <v>117530150018</v>
      </c>
      <c r="G26" s="54" t="s">
        <v>2635</v>
      </c>
      <c r="H26" s="8" t="str">
        <f t="shared" si="1"/>
        <v>cogonon,117530</v>
      </c>
    </row>
    <row r="27" spans="1:9" ht="12.75">
      <c r="A27" s="2">
        <v>24</v>
      </c>
      <c r="B27" s="54" t="s">
        <v>2008</v>
      </c>
      <c r="C27" s="54" t="s">
        <v>2636</v>
      </c>
      <c r="D27" s="54" t="s">
        <v>2637</v>
      </c>
      <c r="E27" s="55" t="s">
        <v>245</v>
      </c>
      <c r="F27" s="55">
        <v>117530150019</v>
      </c>
      <c r="G27" s="54" t="s">
        <v>2638</v>
      </c>
      <c r="H27" s="8" t="str">
        <f t="shared" si="1"/>
        <v>cumawas,117530</v>
      </c>
    </row>
    <row r="28" spans="1:9" ht="12.75">
      <c r="A28" s="2">
        <v>25</v>
      </c>
      <c r="B28" s="54" t="s">
        <v>2008</v>
      </c>
      <c r="C28" s="54" t="s">
        <v>2033</v>
      </c>
      <c r="D28" s="54" t="s">
        <v>2639</v>
      </c>
      <c r="E28" s="55" t="s">
        <v>268</v>
      </c>
      <c r="F28" s="55">
        <v>117533150021</v>
      </c>
      <c r="G28" s="54" t="s">
        <v>2640</v>
      </c>
      <c r="H28" s="8" t="str">
        <f t="shared" si="1"/>
        <v>dada,117530</v>
      </c>
    </row>
    <row r="29" spans="1:9" ht="12.75">
      <c r="A29" s="2">
        <v>26</v>
      </c>
      <c r="B29" s="54" t="s">
        <v>2008</v>
      </c>
      <c r="C29" s="54" t="s">
        <v>2641</v>
      </c>
      <c r="D29" s="54" t="s">
        <v>2642</v>
      </c>
      <c r="E29" s="55"/>
      <c r="F29" s="55">
        <v>117530150011</v>
      </c>
      <c r="G29" s="54" t="s">
        <v>2643</v>
      </c>
      <c r="H29" s="8" t="str">
        <f t="shared" si="1"/>
        <v>delaconception,117530</v>
      </c>
    </row>
    <row r="30" spans="1:9" ht="12.75">
      <c r="A30" s="2">
        <v>27</v>
      </c>
      <c r="B30" s="54" t="s">
        <v>2008</v>
      </c>
      <c r="C30" s="54" t="s">
        <v>2644</v>
      </c>
      <c r="D30" s="54" t="s">
        <v>1698</v>
      </c>
      <c r="E30" s="55" t="s">
        <v>252</v>
      </c>
      <c r="F30" s="55">
        <v>117533150022</v>
      </c>
      <c r="G30" s="54" t="s">
        <v>2645</v>
      </c>
      <c r="H30" s="8" t="str">
        <f t="shared" si="1"/>
        <v>genon,117530</v>
      </c>
    </row>
    <row r="31" spans="1:9" ht="12.75">
      <c r="A31" s="2">
        <v>28</v>
      </c>
      <c r="B31" s="54" t="s">
        <v>2008</v>
      </c>
      <c r="C31" s="54" t="s">
        <v>2646</v>
      </c>
      <c r="D31" s="54" t="s">
        <v>2647</v>
      </c>
      <c r="E31" s="55" t="s">
        <v>294</v>
      </c>
      <c r="F31" s="55">
        <v>116498150003</v>
      </c>
      <c r="G31" s="54" t="s">
        <v>2648</v>
      </c>
      <c r="H31" s="8" t="str">
        <f t="shared" si="1"/>
        <v>gines,117530</v>
      </c>
    </row>
    <row r="32" spans="1:9" ht="12.75">
      <c r="A32" s="2">
        <v>29</v>
      </c>
      <c r="B32" s="54" t="s">
        <v>2008</v>
      </c>
      <c r="C32" s="54" t="s">
        <v>2649</v>
      </c>
      <c r="D32" s="54" t="s">
        <v>964</v>
      </c>
      <c r="E32" s="55" t="s">
        <v>252</v>
      </c>
      <c r="F32" s="55">
        <v>117530150041</v>
      </c>
      <c r="G32" s="54" t="s">
        <v>2650</v>
      </c>
      <c r="H32" s="8" t="str">
        <f t="shared" si="1"/>
        <v>gripo,117530</v>
      </c>
    </row>
    <row r="33" spans="1:8" ht="12.75">
      <c r="A33" s="2">
        <v>30</v>
      </c>
      <c r="B33" s="54" t="s">
        <v>2008</v>
      </c>
      <c r="C33" s="54" t="s">
        <v>2651</v>
      </c>
      <c r="D33" s="54" t="s">
        <v>2652</v>
      </c>
      <c r="E33" s="55" t="s">
        <v>245</v>
      </c>
      <c r="F33" s="55">
        <v>117533140047</v>
      </c>
      <c r="G33" s="54" t="s">
        <v>2653</v>
      </c>
      <c r="H33" s="8" t="str">
        <f t="shared" si="1"/>
        <v>dahildahil,117530</v>
      </c>
    </row>
    <row r="34" spans="1:8" ht="12.75">
      <c r="A34" s="2">
        <v>31</v>
      </c>
      <c r="B34" s="54" t="s">
        <v>2008</v>
      </c>
      <c r="C34" s="54" t="s">
        <v>2654</v>
      </c>
      <c r="D34" s="54" t="s">
        <v>1015</v>
      </c>
      <c r="E34" s="55" t="s">
        <v>257</v>
      </c>
      <c r="F34" s="55">
        <v>117530150004</v>
      </c>
      <c r="G34" s="54" t="s">
        <v>2655</v>
      </c>
      <c r="H34" s="8" t="str">
        <f t="shared" si="1"/>
        <v>regodos,117530</v>
      </c>
    </row>
    <row r="35" spans="1:8" ht="12.75">
      <c r="A35" s="2">
        <v>32</v>
      </c>
      <c r="B35" s="54" t="s">
        <v>2008</v>
      </c>
      <c r="C35" s="54" t="s">
        <v>2656</v>
      </c>
      <c r="D35" s="54" t="s">
        <v>2657</v>
      </c>
      <c r="E35" s="55" t="s">
        <v>257</v>
      </c>
      <c r="F35" s="55">
        <v>117530150025</v>
      </c>
      <c r="G35" s="54" t="s">
        <v>2658</v>
      </c>
      <c r="H35" s="8" t="str">
        <f t="shared" si="1"/>
        <v>salve,117530</v>
      </c>
    </row>
    <row r="36" spans="1:8" ht="12.75">
      <c r="A36" s="2">
        <v>33</v>
      </c>
      <c r="B36" s="54" t="s">
        <v>2008</v>
      </c>
      <c r="C36" s="54" t="s">
        <v>2659</v>
      </c>
      <c r="D36" s="54" t="s">
        <v>2660</v>
      </c>
      <c r="E36" s="55" t="s">
        <v>263</v>
      </c>
      <c r="F36" s="55">
        <v>117530150031</v>
      </c>
      <c r="G36" s="54" t="s">
        <v>2661</v>
      </c>
      <c r="H36" s="8" t="str">
        <f t="shared" si="1"/>
        <v>yanson,117530</v>
      </c>
    </row>
    <row r="37" spans="1:8" ht="12.75">
      <c r="A37" s="2">
        <v>34</v>
      </c>
      <c r="B37" s="54" t="s">
        <v>2008</v>
      </c>
      <c r="C37" s="54" t="s">
        <v>128</v>
      </c>
      <c r="D37" s="54" t="s">
        <v>2662</v>
      </c>
      <c r="E37" s="55" t="s">
        <v>239</v>
      </c>
      <c r="F37" s="55">
        <v>117530150038</v>
      </c>
      <c r="G37" s="54" t="s">
        <v>2663</v>
      </c>
      <c r="H37" s="8" t="str">
        <f t="shared" si="1"/>
        <v>villaruel,117530</v>
      </c>
    </row>
    <row r="38" spans="1:8" ht="12.75">
      <c r="A38" s="2">
        <v>35</v>
      </c>
      <c r="B38" s="7"/>
      <c r="C38" s="7"/>
      <c r="D38" s="7"/>
      <c r="E38" s="8"/>
      <c r="F38" s="8"/>
      <c r="G38" s="7" t="str">
        <f t="shared" si="0"/>
        <v/>
      </c>
      <c r="H38" s="8"/>
    </row>
    <row r="39" spans="1:8" ht="12.75">
      <c r="A39" s="2">
        <v>36</v>
      </c>
      <c r="B39" s="7"/>
      <c r="C39" s="7"/>
      <c r="D39" s="7"/>
      <c r="E39" s="8"/>
      <c r="F39" s="8"/>
      <c r="G39" s="7" t="str">
        <f t="shared" si="0"/>
        <v/>
      </c>
      <c r="H39" s="8"/>
    </row>
    <row r="40" spans="1:8" ht="12.75">
      <c r="A40" s="2">
        <v>37</v>
      </c>
      <c r="B40" s="7"/>
      <c r="C40" s="7"/>
      <c r="D40" s="7"/>
      <c r="E40" s="8"/>
      <c r="F40" s="8"/>
      <c r="G40" s="7" t="str">
        <f t="shared" si="0"/>
        <v/>
      </c>
      <c r="H40" s="8"/>
    </row>
    <row r="41" spans="1:8" ht="12.75">
      <c r="A41" s="2">
        <v>38</v>
      </c>
      <c r="B41" s="7"/>
      <c r="C41" s="7"/>
      <c r="D41" s="7"/>
      <c r="E41" s="8"/>
      <c r="F41" s="8"/>
      <c r="G41" s="7" t="str">
        <f t="shared" si="0"/>
        <v/>
      </c>
      <c r="H41" s="8"/>
    </row>
    <row r="42" spans="1:8" ht="12.75">
      <c r="A42" s="2">
        <v>39</v>
      </c>
      <c r="B42" s="7"/>
      <c r="C42" s="7"/>
      <c r="D42" s="7"/>
      <c r="E42" s="8"/>
      <c r="F42" s="8"/>
      <c r="G42" s="7" t="str">
        <f t="shared" si="0"/>
        <v/>
      </c>
      <c r="H42" s="8"/>
    </row>
    <row r="43" spans="1:8" ht="12.75">
      <c r="A43" s="2">
        <v>40</v>
      </c>
      <c r="B43" s="7"/>
      <c r="C43" s="7"/>
      <c r="D43" s="7"/>
      <c r="E43" s="8"/>
      <c r="F43" s="8"/>
      <c r="G43" s="7" t="str">
        <f t="shared" si="0"/>
        <v/>
      </c>
      <c r="H43" s="8"/>
    </row>
    <row r="44" spans="1:8" ht="12.75">
      <c r="A44" s="2">
        <v>41</v>
      </c>
      <c r="B44" s="7"/>
      <c r="C44" s="7"/>
      <c r="D44" s="7"/>
      <c r="E44" s="8"/>
      <c r="F44" s="8"/>
      <c r="G44" s="7" t="str">
        <f t="shared" si="0"/>
        <v/>
      </c>
      <c r="H44" s="8"/>
    </row>
    <row r="45" spans="1:8" ht="12.75">
      <c r="A45" s="2">
        <v>42</v>
      </c>
      <c r="B45" s="7"/>
      <c r="C45" s="7"/>
      <c r="D45" s="7"/>
      <c r="E45" s="8"/>
      <c r="F45" s="8"/>
      <c r="G45" s="7" t="str">
        <f t="shared" si="0"/>
        <v/>
      </c>
      <c r="H45" s="8"/>
    </row>
    <row r="46" spans="1:8" ht="12.75">
      <c r="A46" s="2">
        <v>43</v>
      </c>
      <c r="B46" s="7"/>
      <c r="C46" s="7"/>
      <c r="D46" s="7"/>
      <c r="E46" s="8"/>
      <c r="F46" s="8"/>
      <c r="G46" s="7" t="str">
        <f t="shared" si="0"/>
        <v/>
      </c>
      <c r="H46" s="8"/>
    </row>
    <row r="47" spans="1:8" ht="12.75">
      <c r="A47" s="2">
        <v>44</v>
      </c>
      <c r="B47" s="7"/>
      <c r="C47" s="7"/>
      <c r="D47" s="7"/>
      <c r="E47" s="8"/>
      <c r="F47" s="8"/>
      <c r="G47" s="7" t="str">
        <f t="shared" si="0"/>
        <v/>
      </c>
      <c r="H47" s="8"/>
    </row>
    <row r="48" spans="1:8" ht="12.75">
      <c r="A48" s="2">
        <v>45</v>
      </c>
      <c r="B48" s="7"/>
      <c r="C48" s="7"/>
      <c r="D48" s="7"/>
      <c r="E48" s="8"/>
      <c r="F48" s="8"/>
      <c r="G48" s="7" t="str">
        <f t="shared" si="0"/>
        <v/>
      </c>
      <c r="H48" s="8"/>
    </row>
    <row r="49" spans="1:8" ht="12.75">
      <c r="A49" s="2">
        <v>46</v>
      </c>
      <c r="B49" s="7"/>
      <c r="C49" s="7"/>
      <c r="D49" s="7"/>
      <c r="E49" s="8"/>
      <c r="F49" s="8"/>
      <c r="G49" s="7" t="str">
        <f t="shared" si="0"/>
        <v/>
      </c>
      <c r="H49" s="8"/>
    </row>
    <row r="50" spans="1:8" ht="12.75">
      <c r="A50" s="2">
        <v>47</v>
      </c>
      <c r="B50" s="7"/>
      <c r="C50" s="7"/>
      <c r="D50" s="7"/>
      <c r="E50" s="8"/>
      <c r="F50" s="8"/>
      <c r="G50" s="7" t="str">
        <f t="shared" si="0"/>
        <v/>
      </c>
      <c r="H50" s="8"/>
    </row>
    <row r="51" spans="1:8" ht="12.75">
      <c r="A51" s="2">
        <v>48</v>
      </c>
      <c r="B51" s="7"/>
      <c r="C51" s="7"/>
      <c r="D51" s="7"/>
      <c r="E51" s="8"/>
      <c r="F51" s="8"/>
      <c r="G51" s="7" t="str">
        <f t="shared" si="0"/>
        <v/>
      </c>
      <c r="H51" s="8"/>
    </row>
    <row r="52" spans="1:8" ht="12.75">
      <c r="A52" s="2">
        <v>49</v>
      </c>
      <c r="B52" s="7"/>
      <c r="C52" s="7"/>
      <c r="D52" s="7"/>
      <c r="E52" s="8"/>
      <c r="F52" s="8"/>
      <c r="G52" s="7" t="str">
        <f t="shared" si="0"/>
        <v/>
      </c>
      <c r="H52" s="8"/>
    </row>
    <row r="53" spans="1:8" ht="12.75">
      <c r="A53" s="2">
        <v>50</v>
      </c>
      <c r="B53" s="7"/>
      <c r="C53" s="7"/>
      <c r="D53" s="7"/>
      <c r="E53" s="8"/>
      <c r="F53" s="8"/>
      <c r="G53" s="7" t="str">
        <f t="shared" si="0"/>
        <v/>
      </c>
      <c r="H53" s="8"/>
    </row>
    <row r="54" spans="1:8" ht="12.75">
      <c r="A54" s="2">
        <v>51</v>
      </c>
      <c r="B54" s="7"/>
      <c r="C54" s="7"/>
      <c r="D54" s="7"/>
      <c r="E54" s="8"/>
      <c r="F54" s="8"/>
      <c r="G54" s="7" t="str">
        <f t="shared" si="0"/>
        <v/>
      </c>
      <c r="H54" s="8"/>
    </row>
    <row r="55" spans="1:8" ht="12.75">
      <c r="A55" s="2">
        <v>52</v>
      </c>
      <c r="B55" s="7"/>
      <c r="C55" s="7"/>
      <c r="D55" s="7"/>
      <c r="E55" s="8"/>
      <c r="F55" s="8"/>
      <c r="G55" s="7" t="str">
        <f t="shared" si="0"/>
        <v/>
      </c>
      <c r="H55" s="8"/>
    </row>
    <row r="56" spans="1:8" ht="12.75">
      <c r="A56" s="2">
        <v>53</v>
      </c>
      <c r="B56" s="7"/>
      <c r="C56" s="7"/>
      <c r="D56" s="7"/>
      <c r="E56" s="8"/>
      <c r="F56" s="8"/>
      <c r="G56" s="7" t="str">
        <f t="shared" si="0"/>
        <v/>
      </c>
      <c r="H56" s="8"/>
    </row>
    <row r="57" spans="1:8" ht="12.75">
      <c r="A57" s="2">
        <v>54</v>
      </c>
      <c r="B57" s="7"/>
      <c r="C57" s="7"/>
      <c r="D57" s="7"/>
      <c r="E57" s="8"/>
      <c r="F57" s="8"/>
      <c r="G57" s="7" t="str">
        <f t="shared" si="0"/>
        <v/>
      </c>
      <c r="H57" s="8"/>
    </row>
    <row r="58" spans="1:8" ht="12.75">
      <c r="A58" s="2">
        <v>55</v>
      </c>
      <c r="B58" s="7"/>
      <c r="C58" s="7"/>
      <c r="D58" s="7"/>
      <c r="E58" s="8"/>
      <c r="F58" s="8"/>
      <c r="G58" s="7" t="str">
        <f t="shared" si="0"/>
        <v/>
      </c>
      <c r="H58" s="8"/>
    </row>
    <row r="59" spans="1:8" ht="12.75">
      <c r="A59" s="2">
        <v>56</v>
      </c>
      <c r="B59" s="7"/>
      <c r="C59" s="7"/>
      <c r="D59" s="7"/>
      <c r="E59" s="8"/>
      <c r="F59" s="8"/>
      <c r="G59" s="7" t="str">
        <f t="shared" si="0"/>
        <v/>
      </c>
      <c r="H59" s="8"/>
    </row>
    <row r="60" spans="1:8" ht="12.75">
      <c r="A60" s="2">
        <v>57</v>
      </c>
      <c r="B60" s="7"/>
      <c r="C60" s="7"/>
      <c r="D60" s="7"/>
      <c r="E60" s="8"/>
      <c r="F60" s="8"/>
      <c r="G60" s="7" t="str">
        <f t="shared" si="0"/>
        <v/>
      </c>
      <c r="H60" s="8"/>
    </row>
    <row r="61" spans="1:8" ht="12.75">
      <c r="A61" s="2">
        <v>58</v>
      </c>
      <c r="B61" s="7"/>
      <c r="C61" s="7"/>
      <c r="D61" s="7"/>
      <c r="E61" s="8"/>
      <c r="F61" s="8"/>
      <c r="G61" s="7" t="str">
        <f t="shared" si="0"/>
        <v/>
      </c>
      <c r="H61" s="8"/>
    </row>
    <row r="62" spans="1:8" ht="12.75">
      <c r="A62" s="2">
        <v>59</v>
      </c>
      <c r="B62" s="7"/>
      <c r="C62" s="7"/>
      <c r="D62" s="7"/>
      <c r="E62" s="8"/>
      <c r="F62" s="8"/>
      <c r="G62" s="7" t="str">
        <f t="shared" si="0"/>
        <v/>
      </c>
      <c r="H62" s="8"/>
    </row>
    <row r="63" spans="1:8" ht="12.75">
      <c r="A63" s="2">
        <v>60</v>
      </c>
      <c r="B63" s="7"/>
      <c r="C63" s="7"/>
      <c r="D63" s="7"/>
      <c r="E63" s="8"/>
      <c r="F63" s="8"/>
      <c r="G63" s="7" t="str">
        <f t="shared" si="0"/>
        <v/>
      </c>
      <c r="H63" s="8"/>
    </row>
    <row r="64" spans="1:8" ht="12.75">
      <c r="A64" s="2">
        <v>61</v>
      </c>
      <c r="B64" s="7"/>
      <c r="C64" s="7"/>
      <c r="D64" s="7"/>
      <c r="E64" s="8"/>
      <c r="F64" s="8"/>
      <c r="G64" s="7" t="str">
        <f t="shared" si="0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ref="G259:G503" si="2">IF(F259="","",F259&amp;"@r6-1.deped.gov.ph")</f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2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2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2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2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2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2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2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2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2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2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2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2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2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2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2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2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2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2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2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2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2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2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2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2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2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2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2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2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2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2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2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2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2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2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2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2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2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2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2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2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2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2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2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2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2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2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2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2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2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2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2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2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2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2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2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2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2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2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2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2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2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2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2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2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2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2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2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2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2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2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2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2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2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2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2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2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2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2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2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2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2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2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2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2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2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2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2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2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2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2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2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2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2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2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2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2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2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2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2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2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2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2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2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2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2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2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2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2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2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2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2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2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2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2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2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2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2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2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2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2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2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2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2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2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2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2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2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2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2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2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2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2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2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2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2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2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2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2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2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2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2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2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2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2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2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2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2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2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2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2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2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2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2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2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2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2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2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2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2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2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2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2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2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2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2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2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2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2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2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2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2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2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2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2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2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2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2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2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2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2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2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2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2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2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2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2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2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2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2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2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2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2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2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2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2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2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2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2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2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2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2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2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2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2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2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2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2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2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2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2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2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2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2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2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2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2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2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2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2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2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2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2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2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2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2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2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2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2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2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2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2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2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2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2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2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2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2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2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2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2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2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2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2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2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1002"/>
  <sheetViews>
    <sheetView topLeftCell="D1" workbookViewId="0">
      <pane ySplit="3" topLeftCell="A31" activePane="bottomLeft" state="frozen"/>
      <selection pane="bottomLeft" activeCell="C38" sqref="C38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2045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2046</v>
      </c>
      <c r="C4" s="7" t="s">
        <v>2047</v>
      </c>
      <c r="D4" s="7" t="s">
        <v>2048</v>
      </c>
      <c r="E4" s="8" t="s">
        <v>1708</v>
      </c>
      <c r="F4" s="8">
        <v>117575150002</v>
      </c>
      <c r="G4" s="7" t="str">
        <f>IF(F4="","",F4&amp;"@r6-1.deped.gov.ph")</f>
        <v>117575150002@r6-1.deped.gov.ph</v>
      </c>
      <c r="H4" s="8" t="str">
        <f>IF(C4="","",LOWER(C4)&amp;",302732")</f>
        <v>arcenal,302732</v>
      </c>
      <c r="I4" t="s">
        <v>14</v>
      </c>
    </row>
    <row r="5" spans="1:11" ht="12.75">
      <c r="A5" s="2">
        <v>2</v>
      </c>
      <c r="B5" s="7" t="s">
        <v>2046</v>
      </c>
      <c r="C5" s="7" t="s">
        <v>2049</v>
      </c>
      <c r="D5" s="7" t="s">
        <v>2050</v>
      </c>
      <c r="E5" s="8" t="s">
        <v>257</v>
      </c>
      <c r="F5" s="8">
        <v>117562150054</v>
      </c>
      <c r="G5" s="7" t="str">
        <f t="shared" ref="G5:G260" si="0">IF(F5="","",F5&amp;"@r6-1.deped.gov.ph")</f>
        <v>117562150054@r6-1.deped.gov.ph</v>
      </c>
      <c r="H5" s="8" t="str">
        <f t="shared" ref="H5:H65" si="1">IF(C5="","",LOWER(C5)&amp;",302732")</f>
        <v>arlos,302732</v>
      </c>
      <c r="I5" t="s">
        <v>14</v>
      </c>
    </row>
    <row r="6" spans="1:11" ht="12.75">
      <c r="A6" s="2">
        <v>3</v>
      </c>
      <c r="B6" s="7" t="s">
        <v>2046</v>
      </c>
      <c r="C6" s="7" t="s">
        <v>2051</v>
      </c>
      <c r="D6" s="7" t="s">
        <v>2052</v>
      </c>
      <c r="E6" s="8" t="s">
        <v>294</v>
      </c>
      <c r="F6" s="8">
        <v>117562150019</v>
      </c>
      <c r="G6" s="7" t="str">
        <f t="shared" si="0"/>
        <v>117562150019@r6-1.deped.gov.ph</v>
      </c>
      <c r="H6" s="8" t="str">
        <f t="shared" si="1"/>
        <v>babaylo,302732</v>
      </c>
      <c r="I6" t="s">
        <v>14</v>
      </c>
    </row>
    <row r="7" spans="1:11" ht="12.75">
      <c r="A7" s="2">
        <v>4</v>
      </c>
      <c r="B7" s="7" t="s">
        <v>2046</v>
      </c>
      <c r="C7" s="7" t="s">
        <v>2053</v>
      </c>
      <c r="D7" s="7" t="s">
        <v>2054</v>
      </c>
      <c r="E7" s="8" t="s">
        <v>739</v>
      </c>
      <c r="F7" s="8">
        <v>117562150049</v>
      </c>
      <c r="G7" s="7" t="str">
        <f t="shared" si="0"/>
        <v>117562150049@r6-1.deped.gov.ph</v>
      </c>
      <c r="H7" s="8" t="str">
        <f t="shared" si="1"/>
        <v>bacayo,302732</v>
      </c>
      <c r="I7" t="s">
        <v>14</v>
      </c>
    </row>
    <row r="8" spans="1:11" ht="12.75">
      <c r="A8" s="2">
        <v>5</v>
      </c>
      <c r="B8" s="7" t="s">
        <v>2046</v>
      </c>
      <c r="C8" s="7" t="s">
        <v>2055</v>
      </c>
      <c r="D8" s="7" t="s">
        <v>50</v>
      </c>
      <c r="E8" s="8" t="s">
        <v>300</v>
      </c>
      <c r="F8" s="8">
        <v>117561150005</v>
      </c>
      <c r="G8" s="7" t="str">
        <f t="shared" si="0"/>
        <v>117561150005@r6-1.deped.gov.ph</v>
      </c>
      <c r="H8" s="8" t="str">
        <f t="shared" si="1"/>
        <v>boot,302732</v>
      </c>
      <c r="I8" t="s">
        <v>14</v>
      </c>
    </row>
    <row r="9" spans="1:11" ht="12.75">
      <c r="A9" s="2">
        <v>6</v>
      </c>
      <c r="B9" s="7" t="s">
        <v>2046</v>
      </c>
      <c r="C9" s="7" t="s">
        <v>611</v>
      </c>
      <c r="D9" s="7" t="s">
        <v>2056</v>
      </c>
      <c r="E9" s="8" t="s">
        <v>252</v>
      </c>
      <c r="F9" s="8">
        <v>117562160098</v>
      </c>
      <c r="G9" s="7" t="str">
        <f t="shared" si="0"/>
        <v>117562160098@r6-1.deped.gov.ph</v>
      </c>
      <c r="H9" s="8" t="str">
        <f t="shared" si="1"/>
        <v>francisco,302732</v>
      </c>
      <c r="I9" t="s">
        <v>14</v>
      </c>
    </row>
    <row r="10" spans="1:11" ht="12.75">
      <c r="A10" s="2">
        <v>7</v>
      </c>
      <c r="B10" s="7" t="s">
        <v>2046</v>
      </c>
      <c r="C10" s="7" t="s">
        <v>2057</v>
      </c>
      <c r="D10" s="7" t="s">
        <v>2058</v>
      </c>
      <c r="E10" s="8" t="s">
        <v>239</v>
      </c>
      <c r="F10" s="8">
        <v>117562160065</v>
      </c>
      <c r="G10" s="7" t="str">
        <f t="shared" si="0"/>
        <v>117562160065@r6-1.deped.gov.ph</v>
      </c>
      <c r="H10" s="8" t="str">
        <f t="shared" si="1"/>
        <v>golisao,302732</v>
      </c>
      <c r="I10" t="s">
        <v>14</v>
      </c>
    </row>
    <row r="11" spans="1:11" ht="12.75">
      <c r="A11" s="2">
        <v>8</v>
      </c>
      <c r="B11" s="7" t="s">
        <v>2046</v>
      </c>
      <c r="C11" s="7" t="s">
        <v>383</v>
      </c>
      <c r="D11" s="7" t="s">
        <v>2059</v>
      </c>
      <c r="E11" s="8" t="s">
        <v>252</v>
      </c>
      <c r="F11" s="8">
        <v>404160150023</v>
      </c>
      <c r="G11" s="7" t="str">
        <f t="shared" si="0"/>
        <v>404160150023@r6-1.deped.gov.ph</v>
      </c>
      <c r="H11" s="8" t="str">
        <f t="shared" si="1"/>
        <v>gonzales,302732</v>
      </c>
      <c r="I11" t="s">
        <v>14</v>
      </c>
    </row>
    <row r="12" spans="1:11" ht="12.75">
      <c r="A12" s="2">
        <v>9</v>
      </c>
      <c r="B12" s="7" t="s">
        <v>2046</v>
      </c>
      <c r="C12" s="7" t="s">
        <v>2060</v>
      </c>
      <c r="D12" s="7" t="s">
        <v>2061</v>
      </c>
      <c r="E12" s="8" t="s">
        <v>263</v>
      </c>
      <c r="F12" s="8">
        <v>117561150067</v>
      </c>
      <c r="G12" s="7" t="str">
        <f t="shared" si="0"/>
        <v>117561150067@r6-1.deped.gov.ph</v>
      </c>
      <c r="H12" s="8" t="str">
        <f t="shared" si="1"/>
        <v>jocson,302732</v>
      </c>
      <c r="I12" t="s">
        <v>14</v>
      </c>
    </row>
    <row r="13" spans="1:11" ht="12.75">
      <c r="A13" s="2">
        <v>10</v>
      </c>
      <c r="B13" s="7" t="s">
        <v>2046</v>
      </c>
      <c r="C13" s="7" t="s">
        <v>2062</v>
      </c>
      <c r="D13" s="7" t="s">
        <v>2063</v>
      </c>
      <c r="E13" s="8" t="s">
        <v>263</v>
      </c>
      <c r="F13" s="8">
        <v>117562160099</v>
      </c>
      <c r="G13" s="7" t="str">
        <f t="shared" si="0"/>
        <v>117562160099@r6-1.deped.gov.ph</v>
      </c>
      <c r="H13" s="8" t="str">
        <f t="shared" si="1"/>
        <v>langcoyan,302732</v>
      </c>
      <c r="I13" t="s">
        <v>14</v>
      </c>
    </row>
    <row r="14" spans="1:11" ht="12.75">
      <c r="A14" s="2">
        <v>11</v>
      </c>
      <c r="B14" s="7" t="s">
        <v>2046</v>
      </c>
      <c r="C14" s="7" t="s">
        <v>2064</v>
      </c>
      <c r="D14" s="7" t="s">
        <v>2065</v>
      </c>
      <c r="E14" s="8" t="s">
        <v>309</v>
      </c>
      <c r="F14" s="8">
        <v>117562150059</v>
      </c>
      <c r="G14" s="7" t="str">
        <f t="shared" si="0"/>
        <v>117562150059@r6-1.deped.gov.ph</v>
      </c>
      <c r="H14" s="8" t="str">
        <f t="shared" si="1"/>
        <v>loyola,302732</v>
      </c>
      <c r="I14" t="s">
        <v>14</v>
      </c>
    </row>
    <row r="15" spans="1:11" ht="12.75">
      <c r="A15" s="2">
        <v>12</v>
      </c>
      <c r="B15" s="7" t="s">
        <v>2046</v>
      </c>
      <c r="C15" s="7" t="s">
        <v>1486</v>
      </c>
      <c r="D15" s="7" t="s">
        <v>2066</v>
      </c>
      <c r="E15" s="8" t="s">
        <v>281</v>
      </c>
      <c r="F15" s="8">
        <v>117546140232</v>
      </c>
      <c r="G15" s="7" t="str">
        <f t="shared" si="0"/>
        <v>117546140232@r6-1.deped.gov.ph</v>
      </c>
      <c r="H15" s="8" t="str">
        <f t="shared" si="1"/>
        <v>maningo,302732</v>
      </c>
      <c r="I15" t="s">
        <v>14</v>
      </c>
    </row>
    <row r="16" spans="1:11" ht="12.75">
      <c r="A16" s="2">
        <v>13</v>
      </c>
      <c r="B16" s="7" t="s">
        <v>2046</v>
      </c>
      <c r="C16" s="7" t="s">
        <v>2067</v>
      </c>
      <c r="D16" s="7" t="s">
        <v>2068</v>
      </c>
      <c r="E16" s="8"/>
      <c r="F16" s="8">
        <v>117561150070</v>
      </c>
      <c r="G16" s="7" t="str">
        <f t="shared" si="0"/>
        <v>117561150070@r6-1.deped.gov.ph</v>
      </c>
      <c r="H16" s="8" t="str">
        <f t="shared" si="1"/>
        <v>matulina,302732</v>
      </c>
      <c r="I16" t="s">
        <v>14</v>
      </c>
    </row>
    <row r="17" spans="1:9" ht="12.75">
      <c r="A17" s="2">
        <v>14</v>
      </c>
      <c r="B17" s="7" t="s">
        <v>2046</v>
      </c>
      <c r="C17" s="7" t="s">
        <v>2069</v>
      </c>
      <c r="D17" s="7" t="s">
        <v>2070</v>
      </c>
      <c r="E17" s="8" t="s">
        <v>239</v>
      </c>
      <c r="F17" s="8">
        <v>442005150067</v>
      </c>
      <c r="G17" s="7" t="str">
        <f t="shared" si="0"/>
        <v>442005150067@r6-1.deped.gov.ph</v>
      </c>
      <c r="H17" s="8" t="str">
        <f t="shared" si="1"/>
        <v>pasman,302732</v>
      </c>
      <c r="I17" t="s">
        <v>14</v>
      </c>
    </row>
    <row r="18" spans="1:9" ht="12.75">
      <c r="A18" s="2">
        <v>15</v>
      </c>
      <c r="B18" s="7" t="s">
        <v>2046</v>
      </c>
      <c r="C18" s="7" t="s">
        <v>288</v>
      </c>
      <c r="D18" s="7" t="s">
        <v>2071</v>
      </c>
      <c r="E18" s="8" t="s">
        <v>281</v>
      </c>
      <c r="F18" s="8">
        <v>117562150063</v>
      </c>
      <c r="G18" s="7" t="str">
        <f t="shared" si="0"/>
        <v>117562150063@r6-1.deped.gov.ph</v>
      </c>
      <c r="H18" s="8" t="str">
        <f t="shared" si="1"/>
        <v>ramos,302732</v>
      </c>
      <c r="I18" t="s">
        <v>14</v>
      </c>
    </row>
    <row r="19" spans="1:9" ht="12.75">
      <c r="A19" s="2">
        <v>16</v>
      </c>
      <c r="B19" s="7" t="s">
        <v>2046</v>
      </c>
      <c r="C19" s="7" t="s">
        <v>2072</v>
      </c>
      <c r="D19" s="7" t="s">
        <v>2073</v>
      </c>
      <c r="E19" s="8" t="s">
        <v>231</v>
      </c>
      <c r="F19" s="8">
        <v>117562160100</v>
      </c>
      <c r="G19" s="7" t="str">
        <f t="shared" si="0"/>
        <v>117562160100@r6-1.deped.gov.ph</v>
      </c>
      <c r="H19" s="8" t="str">
        <f t="shared" si="1"/>
        <v>torrechante,302732</v>
      </c>
      <c r="I19" t="s">
        <v>14</v>
      </c>
    </row>
    <row r="20" spans="1:9" ht="12.75">
      <c r="A20" s="2">
        <v>17</v>
      </c>
      <c r="B20" s="7" t="s">
        <v>2046</v>
      </c>
      <c r="C20" s="7" t="s">
        <v>403</v>
      </c>
      <c r="D20" s="7" t="s">
        <v>2074</v>
      </c>
      <c r="E20" s="8" t="s">
        <v>361</v>
      </c>
      <c r="F20" s="8">
        <v>117562160101</v>
      </c>
      <c r="G20" s="7" t="str">
        <f t="shared" si="0"/>
        <v>117562160101@r6-1.deped.gov.ph</v>
      </c>
      <c r="H20" s="8" t="str">
        <f t="shared" si="1"/>
        <v>villanueva,302732</v>
      </c>
      <c r="I20" t="s">
        <v>14</v>
      </c>
    </row>
    <row r="21" spans="1:9" ht="12.75">
      <c r="A21" s="2">
        <v>18</v>
      </c>
      <c r="B21" s="7" t="s">
        <v>2046</v>
      </c>
      <c r="C21" s="7" t="s">
        <v>1758</v>
      </c>
      <c r="D21" s="7" t="s">
        <v>576</v>
      </c>
      <c r="E21" s="8" t="s">
        <v>242</v>
      </c>
      <c r="F21" s="8">
        <v>442006150006</v>
      </c>
      <c r="G21" s="7" t="str">
        <f t="shared" si="0"/>
        <v>442006150006@r6-1.deped.gov.ph</v>
      </c>
      <c r="H21" s="8" t="str">
        <f t="shared" si="1"/>
        <v>alegre,302732</v>
      </c>
      <c r="I21" t="s">
        <v>14</v>
      </c>
    </row>
    <row r="22" spans="1:9" ht="12.75">
      <c r="A22" s="2">
        <v>19</v>
      </c>
      <c r="B22" s="7" t="s">
        <v>2046</v>
      </c>
      <c r="C22" s="7" t="s">
        <v>2075</v>
      </c>
      <c r="D22" s="7" t="s">
        <v>521</v>
      </c>
      <c r="E22" s="8" t="s">
        <v>252</v>
      </c>
      <c r="F22" s="8">
        <v>117562150079</v>
      </c>
      <c r="G22" s="7" t="str">
        <f t="shared" si="0"/>
        <v>117562150079@r6-1.deped.gov.ph</v>
      </c>
      <c r="H22" s="8" t="str">
        <f t="shared" si="1"/>
        <v>alisan,302732</v>
      </c>
      <c r="I22" t="s">
        <v>14</v>
      </c>
    </row>
    <row r="23" spans="1:9" ht="12.75">
      <c r="A23" s="2">
        <v>20</v>
      </c>
      <c r="B23" s="7" t="s">
        <v>2046</v>
      </c>
      <c r="C23" s="7" t="s">
        <v>2076</v>
      </c>
      <c r="D23" s="7" t="s">
        <v>214</v>
      </c>
      <c r="E23" s="8" t="s">
        <v>245</v>
      </c>
      <c r="F23" s="8">
        <v>117572140181</v>
      </c>
      <c r="G23" s="7" t="str">
        <f t="shared" si="0"/>
        <v>117572140181@r6-1.deped.gov.ph</v>
      </c>
      <c r="H23" s="8" t="str">
        <f t="shared" si="1"/>
        <v>aloba,302732</v>
      </c>
      <c r="I23" t="s">
        <v>46</v>
      </c>
    </row>
    <row r="24" spans="1:9" ht="12.75">
      <c r="A24" s="2">
        <v>21</v>
      </c>
      <c r="B24" s="7" t="s">
        <v>2046</v>
      </c>
      <c r="C24" s="7" t="s">
        <v>2077</v>
      </c>
      <c r="D24" s="7" t="s">
        <v>2078</v>
      </c>
      <c r="E24" s="8" t="s">
        <v>294</v>
      </c>
      <c r="F24" s="8">
        <v>117562150080</v>
      </c>
      <c r="G24" s="7" t="str">
        <f t="shared" si="0"/>
        <v>117562150080@r6-1.deped.gov.ph</v>
      </c>
      <c r="H24" s="8" t="str">
        <f t="shared" si="1"/>
        <v>arisgado,302732</v>
      </c>
      <c r="I24" t="s">
        <v>14</v>
      </c>
    </row>
    <row r="25" spans="1:9" ht="12.75">
      <c r="A25" s="2">
        <v>22</v>
      </c>
      <c r="B25" s="7" t="s">
        <v>2046</v>
      </c>
      <c r="C25" s="7" t="s">
        <v>2079</v>
      </c>
      <c r="D25" s="7" t="s">
        <v>429</v>
      </c>
      <c r="E25" s="8" t="s">
        <v>245</v>
      </c>
      <c r="F25" s="8">
        <v>117562150034</v>
      </c>
      <c r="G25" s="7" t="str">
        <f t="shared" si="0"/>
        <v>117562150034@r6-1.deped.gov.ph</v>
      </c>
      <c r="H25" s="8" t="str">
        <f t="shared" si="1"/>
        <v>bacroya,302732</v>
      </c>
      <c r="I25" t="s">
        <v>14</v>
      </c>
    </row>
    <row r="26" spans="1:9" ht="12.75">
      <c r="A26" s="2">
        <v>23</v>
      </c>
      <c r="B26" s="7" t="s">
        <v>2046</v>
      </c>
      <c r="C26" s="7" t="s">
        <v>2080</v>
      </c>
      <c r="D26" s="7" t="s">
        <v>2081</v>
      </c>
      <c r="E26" s="8" t="s">
        <v>281</v>
      </c>
      <c r="F26" s="8">
        <v>117562160087</v>
      </c>
      <c r="G26" s="7" t="str">
        <f t="shared" si="0"/>
        <v>117562160087@r6-1.deped.gov.ph</v>
      </c>
      <c r="H26" s="8" t="str">
        <f t="shared" si="1"/>
        <v>consejo,302732</v>
      </c>
      <c r="I26" t="s">
        <v>14</v>
      </c>
    </row>
    <row r="27" spans="1:9" ht="12.75">
      <c r="A27" s="2">
        <v>24</v>
      </c>
      <c r="B27" s="7" t="s">
        <v>2046</v>
      </c>
      <c r="C27" s="7" t="s">
        <v>844</v>
      </c>
      <c r="D27" s="7" t="s">
        <v>2082</v>
      </c>
      <c r="E27" s="8" t="s">
        <v>252</v>
      </c>
      <c r="F27" s="8">
        <v>118322150020</v>
      </c>
      <c r="G27" s="7" t="str">
        <f t="shared" si="0"/>
        <v>118322150020@r6-1.deped.gov.ph</v>
      </c>
      <c r="H27" s="8" t="str">
        <f t="shared" si="1"/>
        <v>del rosario,302732</v>
      </c>
      <c r="I27" t="s">
        <v>46</v>
      </c>
    </row>
    <row r="28" spans="1:9" ht="12.75">
      <c r="A28" s="2">
        <v>25</v>
      </c>
      <c r="B28" s="7" t="s">
        <v>2046</v>
      </c>
      <c r="C28" s="7" t="s">
        <v>314</v>
      </c>
      <c r="D28" s="7" t="s">
        <v>2083</v>
      </c>
      <c r="E28" s="8" t="s">
        <v>294</v>
      </c>
      <c r="F28" s="8">
        <v>117562150084</v>
      </c>
      <c r="G28" s="7" t="str">
        <f t="shared" si="0"/>
        <v>117562150084@r6-1.deped.gov.ph</v>
      </c>
      <c r="H28" s="8" t="str">
        <f t="shared" si="1"/>
        <v>dela cruz,302732</v>
      </c>
      <c r="I28" t="s">
        <v>14</v>
      </c>
    </row>
    <row r="29" spans="1:9" ht="12.75">
      <c r="A29" s="2">
        <v>26</v>
      </c>
      <c r="B29" s="7" t="s">
        <v>2046</v>
      </c>
      <c r="C29" s="7" t="s">
        <v>2084</v>
      </c>
      <c r="D29" s="7" t="s">
        <v>2085</v>
      </c>
      <c r="E29" s="8" t="s">
        <v>252</v>
      </c>
      <c r="F29" s="8">
        <v>117562150064</v>
      </c>
      <c r="G29" s="7" t="str">
        <f t="shared" si="0"/>
        <v>117562150064@r6-1.deped.gov.ph</v>
      </c>
      <c r="H29" s="8" t="str">
        <f t="shared" si="1"/>
        <v>delenia,302732</v>
      </c>
      <c r="I29" t="s">
        <v>14</v>
      </c>
    </row>
    <row r="30" spans="1:9" ht="12.75">
      <c r="A30" s="2">
        <v>27</v>
      </c>
      <c r="B30" s="7" t="s">
        <v>2046</v>
      </c>
      <c r="C30" s="7" t="s">
        <v>2086</v>
      </c>
      <c r="D30" s="7" t="s">
        <v>2087</v>
      </c>
      <c r="E30" s="8"/>
      <c r="F30" s="8">
        <v>117562150038</v>
      </c>
      <c r="G30" s="7" t="str">
        <f t="shared" si="0"/>
        <v>117562150038@r6-1.deped.gov.ph</v>
      </c>
      <c r="H30" s="8" t="str">
        <f t="shared" si="1"/>
        <v>domopoy,302732</v>
      </c>
      <c r="I30" t="s">
        <v>14</v>
      </c>
    </row>
    <row r="31" spans="1:9" ht="12.75">
      <c r="A31" s="2">
        <v>28</v>
      </c>
      <c r="B31" s="7" t="s">
        <v>2046</v>
      </c>
      <c r="C31" s="7" t="s">
        <v>2088</v>
      </c>
      <c r="D31" s="7" t="s">
        <v>429</v>
      </c>
      <c r="E31" s="8" t="s">
        <v>311</v>
      </c>
      <c r="F31" s="8">
        <v>117562150086</v>
      </c>
      <c r="G31" s="7" t="str">
        <f t="shared" si="0"/>
        <v>117562150086@r6-1.deped.gov.ph</v>
      </c>
      <c r="H31" s="8" t="str">
        <f t="shared" si="1"/>
        <v>ducay,302732</v>
      </c>
      <c r="I31" t="s">
        <v>14</v>
      </c>
    </row>
    <row r="32" spans="1:9" ht="12.75">
      <c r="A32" s="2">
        <v>29</v>
      </c>
      <c r="B32" s="7" t="s">
        <v>2046</v>
      </c>
      <c r="C32" s="7" t="s">
        <v>534</v>
      </c>
      <c r="D32" s="7" t="s">
        <v>2089</v>
      </c>
      <c r="E32" s="8" t="s">
        <v>260</v>
      </c>
      <c r="F32" s="8">
        <v>117562150087</v>
      </c>
      <c r="G32" s="7" t="str">
        <f t="shared" si="0"/>
        <v>117562150087@r6-1.deped.gov.ph</v>
      </c>
      <c r="H32" s="8" t="str">
        <f t="shared" si="1"/>
        <v>ferrer,302732</v>
      </c>
      <c r="I32" t="s">
        <v>14</v>
      </c>
    </row>
    <row r="33" spans="1:9" ht="12.75">
      <c r="A33" s="2">
        <v>30</v>
      </c>
      <c r="B33" s="7" t="s">
        <v>2046</v>
      </c>
      <c r="C33" s="7" t="s">
        <v>383</v>
      </c>
      <c r="D33" s="7" t="s">
        <v>2090</v>
      </c>
      <c r="E33" s="8" t="s">
        <v>242</v>
      </c>
      <c r="F33" s="8">
        <v>109318150456</v>
      </c>
      <c r="G33" s="7" t="str">
        <f t="shared" si="0"/>
        <v>109318150456@r6-1.deped.gov.ph</v>
      </c>
      <c r="H33" s="8" t="str">
        <f t="shared" si="1"/>
        <v>gonzales,302732</v>
      </c>
      <c r="I33" t="s">
        <v>46</v>
      </c>
    </row>
    <row r="34" spans="1:9" ht="12.75">
      <c r="A34" s="2">
        <v>31</v>
      </c>
      <c r="B34" s="7" t="s">
        <v>2046</v>
      </c>
      <c r="C34" s="7" t="s">
        <v>2091</v>
      </c>
      <c r="D34" s="7" t="s">
        <v>1938</v>
      </c>
      <c r="E34" s="8"/>
      <c r="F34" s="8">
        <v>136711150064</v>
      </c>
      <c r="G34" s="7" t="str">
        <f t="shared" si="0"/>
        <v>136711150064@r6-1.deped.gov.ph</v>
      </c>
      <c r="H34" s="8" t="str">
        <f t="shared" si="1"/>
        <v>hipolan,302732</v>
      </c>
      <c r="I34" t="s">
        <v>14</v>
      </c>
    </row>
    <row r="35" spans="1:9" ht="12.75">
      <c r="A35" s="2">
        <v>32</v>
      </c>
      <c r="B35" s="7" t="s">
        <v>2046</v>
      </c>
      <c r="C35" s="7" t="s">
        <v>2092</v>
      </c>
      <c r="D35" s="7" t="s">
        <v>491</v>
      </c>
      <c r="E35" s="8" t="s">
        <v>239</v>
      </c>
      <c r="F35" s="8">
        <v>117562150089</v>
      </c>
      <c r="G35" s="7" t="str">
        <f t="shared" si="0"/>
        <v>117562150089@r6-1.deped.gov.ph</v>
      </c>
      <c r="H35" s="8" t="str">
        <f t="shared" si="1"/>
        <v>libertad,302732</v>
      </c>
      <c r="I35" t="s">
        <v>14</v>
      </c>
    </row>
    <row r="36" spans="1:9" ht="12.75">
      <c r="A36" s="2">
        <v>33</v>
      </c>
      <c r="B36" s="7" t="s">
        <v>2046</v>
      </c>
      <c r="C36" s="7" t="s">
        <v>2093</v>
      </c>
      <c r="D36" s="7" t="s">
        <v>2094</v>
      </c>
      <c r="E36" s="8" t="s">
        <v>257</v>
      </c>
      <c r="F36" s="8">
        <v>440532150053</v>
      </c>
      <c r="G36" s="7" t="str">
        <f t="shared" si="0"/>
        <v>440532150053@r6-1.deped.gov.ph</v>
      </c>
      <c r="H36" s="8" t="str">
        <f t="shared" si="1"/>
        <v>lumayag,302732</v>
      </c>
      <c r="I36" t="s">
        <v>46</v>
      </c>
    </row>
    <row r="37" spans="1:9" ht="12.75">
      <c r="A37" s="2">
        <v>34</v>
      </c>
      <c r="B37" s="7" t="s">
        <v>2046</v>
      </c>
      <c r="C37" s="7" t="s">
        <v>40</v>
      </c>
      <c r="D37" s="7" t="s">
        <v>2095</v>
      </c>
      <c r="E37" s="8" t="s">
        <v>231</v>
      </c>
      <c r="F37" s="8">
        <v>117562150090</v>
      </c>
      <c r="G37" s="7" t="str">
        <f t="shared" si="0"/>
        <v>117562150090@r6-1.deped.gov.ph</v>
      </c>
      <c r="H37" s="8" t="str">
        <f t="shared" si="1"/>
        <v>magbanua,302732</v>
      </c>
      <c r="I37" t="s">
        <v>14</v>
      </c>
    </row>
    <row r="38" spans="1:9" ht="12.75">
      <c r="A38" s="2">
        <v>35</v>
      </c>
      <c r="B38" s="7" t="s">
        <v>2046</v>
      </c>
      <c r="C38" s="7" t="s">
        <v>1560</v>
      </c>
      <c r="D38" s="7" t="s">
        <v>1365</v>
      </c>
      <c r="E38" s="8" t="s">
        <v>231</v>
      </c>
      <c r="F38" s="8">
        <v>117562150091</v>
      </c>
      <c r="G38" s="7" t="str">
        <f t="shared" si="0"/>
        <v>117562150091@r6-1.deped.gov.ph</v>
      </c>
      <c r="H38" s="8" t="str">
        <f t="shared" si="1"/>
        <v>oniot,302732</v>
      </c>
      <c r="I38" t="s">
        <v>46</v>
      </c>
    </row>
    <row r="39" spans="1:9" ht="12.75">
      <c r="A39" s="2">
        <v>36</v>
      </c>
      <c r="B39" s="7" t="s">
        <v>2046</v>
      </c>
      <c r="C39" s="7" t="s">
        <v>2096</v>
      </c>
      <c r="D39" s="7" t="s">
        <v>2097</v>
      </c>
      <c r="E39" s="8" t="s">
        <v>309</v>
      </c>
      <c r="F39" s="8">
        <v>117562150093</v>
      </c>
      <c r="G39" s="7" t="str">
        <f t="shared" si="0"/>
        <v>117562150093@r6-1.deped.gov.ph</v>
      </c>
      <c r="H39" s="8" t="str">
        <f t="shared" si="1"/>
        <v>pasilan,302732</v>
      </c>
      <c r="I39" t="s">
        <v>14</v>
      </c>
    </row>
    <row r="40" spans="1:9" ht="12.75">
      <c r="A40" s="2">
        <v>37</v>
      </c>
      <c r="B40" s="7" t="s">
        <v>2046</v>
      </c>
      <c r="C40" s="7" t="s">
        <v>2098</v>
      </c>
      <c r="D40" s="7" t="s">
        <v>2099</v>
      </c>
      <c r="E40" s="8" t="s">
        <v>294</v>
      </c>
      <c r="F40" s="8">
        <v>117571150082</v>
      </c>
      <c r="G40" s="7" t="str">
        <f t="shared" si="0"/>
        <v>117571150082@r6-1.deped.gov.ph</v>
      </c>
      <c r="H40" s="8" t="str">
        <f t="shared" si="1"/>
        <v>sagayle,302732</v>
      </c>
      <c r="I40" t="s">
        <v>46</v>
      </c>
    </row>
    <row r="41" spans="1:9" ht="12.75">
      <c r="A41" s="2">
        <v>38</v>
      </c>
      <c r="B41" s="7" t="s">
        <v>2046</v>
      </c>
      <c r="C41" s="7" t="s">
        <v>2100</v>
      </c>
      <c r="D41" s="7" t="s">
        <v>2101</v>
      </c>
      <c r="E41" s="8" t="s">
        <v>260</v>
      </c>
      <c r="F41" s="8">
        <v>117546150199</v>
      </c>
      <c r="G41" s="7" t="str">
        <f t="shared" si="0"/>
        <v>117546150199@r6-1.deped.gov.ph</v>
      </c>
      <c r="H41" s="8" t="str">
        <f t="shared" si="1"/>
        <v>sanchez,302732</v>
      </c>
      <c r="I41" t="s">
        <v>14</v>
      </c>
    </row>
    <row r="42" spans="1:9" ht="12.75">
      <c r="A42" s="2">
        <v>39</v>
      </c>
      <c r="B42" s="7" t="s">
        <v>2102</v>
      </c>
      <c r="C42" s="7" t="s">
        <v>2103</v>
      </c>
      <c r="D42" s="7" t="s">
        <v>2104</v>
      </c>
      <c r="E42" s="8" t="s">
        <v>231</v>
      </c>
      <c r="F42" s="8">
        <v>117562150053</v>
      </c>
      <c r="G42" s="7" t="str">
        <f t="shared" si="0"/>
        <v>117562150053@r6-1.deped.gov.ph</v>
      </c>
      <c r="H42" s="8" t="str">
        <f t="shared" si="1"/>
        <v>alon,302732</v>
      </c>
      <c r="I42" t="s">
        <v>14</v>
      </c>
    </row>
    <row r="43" spans="1:9" ht="12.75">
      <c r="A43" s="2">
        <v>40</v>
      </c>
      <c r="B43" s="7" t="s">
        <v>2102</v>
      </c>
      <c r="C43" s="7" t="s">
        <v>2105</v>
      </c>
      <c r="D43" s="7" t="s">
        <v>2106</v>
      </c>
      <c r="E43" s="8" t="s">
        <v>239</v>
      </c>
      <c r="F43" s="8">
        <v>117540150088</v>
      </c>
      <c r="G43" s="7" t="str">
        <f t="shared" si="0"/>
        <v>117540150088@r6-1.deped.gov.ph</v>
      </c>
      <c r="H43" s="8" t="str">
        <f t="shared" si="1"/>
        <v>benitez,302732</v>
      </c>
      <c r="I43" t="s">
        <v>14</v>
      </c>
    </row>
    <row r="44" spans="1:9" ht="12.75">
      <c r="A44" s="2">
        <v>41</v>
      </c>
      <c r="B44" s="7" t="s">
        <v>2102</v>
      </c>
      <c r="C44" s="7" t="s">
        <v>2107</v>
      </c>
      <c r="D44" s="7" t="s">
        <v>2108</v>
      </c>
      <c r="E44" s="8" t="s">
        <v>245</v>
      </c>
      <c r="F44" s="8">
        <v>117531150113</v>
      </c>
      <c r="G44" s="7" t="str">
        <f t="shared" si="0"/>
        <v>117531150113@r6-1.deped.gov.ph</v>
      </c>
      <c r="H44" s="8" t="str">
        <f t="shared" si="1"/>
        <v>bornales,302732</v>
      </c>
      <c r="I44" t="s">
        <v>46</v>
      </c>
    </row>
    <row r="45" spans="1:9" ht="12.75">
      <c r="A45" s="2">
        <v>42</v>
      </c>
      <c r="B45" s="7" t="s">
        <v>2102</v>
      </c>
      <c r="C45" s="7" t="s">
        <v>2109</v>
      </c>
      <c r="D45" s="7" t="s">
        <v>2110</v>
      </c>
      <c r="E45" s="8"/>
      <c r="F45" s="8">
        <v>404162160009</v>
      </c>
      <c r="G45" s="7" t="str">
        <f t="shared" si="0"/>
        <v>404162160009@r6-1.deped.gov.ph</v>
      </c>
      <c r="H45" s="8" t="str">
        <f t="shared" si="1"/>
        <v>forteza,302732</v>
      </c>
      <c r="I45" t="s">
        <v>14</v>
      </c>
    </row>
    <row r="46" spans="1:9" ht="12.75">
      <c r="A46" s="2">
        <v>43</v>
      </c>
      <c r="B46" s="7" t="s">
        <v>2102</v>
      </c>
      <c r="C46" s="7" t="s">
        <v>2111</v>
      </c>
      <c r="D46" s="7" t="s">
        <v>2112</v>
      </c>
      <c r="E46" s="8" t="s">
        <v>252</v>
      </c>
      <c r="F46" s="8">
        <v>442005150066</v>
      </c>
      <c r="G46" s="7" t="str">
        <f t="shared" si="0"/>
        <v>442005150066@r6-1.deped.gov.ph</v>
      </c>
      <c r="H46" s="8" t="str">
        <f t="shared" si="1"/>
        <v>pagador,302732</v>
      </c>
      <c r="I46" t="s">
        <v>14</v>
      </c>
    </row>
    <row r="47" spans="1:9" ht="12.75">
      <c r="A47" s="2">
        <v>44</v>
      </c>
      <c r="B47" s="7" t="s">
        <v>2102</v>
      </c>
      <c r="C47" s="7" t="s">
        <v>2113</v>
      </c>
      <c r="D47" s="7" t="s">
        <v>2114</v>
      </c>
      <c r="E47" s="8" t="s">
        <v>260</v>
      </c>
      <c r="F47" s="8">
        <v>117572160122</v>
      </c>
      <c r="G47" s="7" t="str">
        <f t="shared" si="0"/>
        <v>117572160122@r6-1.deped.gov.ph</v>
      </c>
      <c r="H47" s="8" t="str">
        <f t="shared" si="1"/>
        <v>tayactac,302732</v>
      </c>
      <c r="I47" t="s">
        <v>14</v>
      </c>
    </row>
    <row r="48" spans="1:9" ht="12.75">
      <c r="A48" s="2">
        <v>45</v>
      </c>
      <c r="B48" s="7" t="s">
        <v>2102</v>
      </c>
      <c r="C48" s="7" t="s">
        <v>2115</v>
      </c>
      <c r="D48" s="7" t="s">
        <v>2116</v>
      </c>
      <c r="E48" s="8" t="s">
        <v>257</v>
      </c>
      <c r="F48" s="8">
        <v>117562150031</v>
      </c>
      <c r="G48" s="7" t="str">
        <f t="shared" si="0"/>
        <v>117562150031@r6-1.deped.gov.ph</v>
      </c>
      <c r="H48" s="8" t="str">
        <f t="shared" si="1"/>
        <v>tenorio,302732</v>
      </c>
      <c r="I48" t="s">
        <v>14</v>
      </c>
    </row>
    <row r="49" spans="1:9" ht="12.75">
      <c r="A49" s="2">
        <v>46</v>
      </c>
      <c r="B49" s="7" t="s">
        <v>2102</v>
      </c>
      <c r="C49" s="7" t="s">
        <v>2117</v>
      </c>
      <c r="D49" s="7" t="s">
        <v>2118</v>
      </c>
      <c r="E49" s="8" t="s">
        <v>252</v>
      </c>
      <c r="F49" s="8">
        <v>117562150131</v>
      </c>
      <c r="G49" s="7" t="str">
        <f t="shared" si="0"/>
        <v>117562150131@r6-1.deped.gov.ph</v>
      </c>
      <c r="H49" s="8" t="str">
        <f t="shared" si="1"/>
        <v>tomaque,302732</v>
      </c>
      <c r="I49" t="s">
        <v>14</v>
      </c>
    </row>
    <row r="50" spans="1:9" ht="12.75">
      <c r="A50" s="2">
        <v>47</v>
      </c>
      <c r="B50" s="7" t="s">
        <v>2102</v>
      </c>
      <c r="C50" s="7" t="s">
        <v>2119</v>
      </c>
      <c r="D50" s="7" t="s">
        <v>2120</v>
      </c>
      <c r="E50" s="8" t="s">
        <v>263</v>
      </c>
      <c r="F50" s="8">
        <v>117562160067</v>
      </c>
      <c r="G50" s="7" t="str">
        <f t="shared" si="0"/>
        <v>117562160067@r6-1.deped.gov.ph</v>
      </c>
      <c r="H50" s="8" t="str">
        <f t="shared" si="1"/>
        <v>alolon,302732</v>
      </c>
      <c r="I50" t="s">
        <v>14</v>
      </c>
    </row>
    <row r="51" spans="1:9" ht="12.75">
      <c r="A51" s="2">
        <v>48</v>
      </c>
      <c r="B51" s="7" t="s">
        <v>2102</v>
      </c>
      <c r="C51" s="7" t="s">
        <v>2121</v>
      </c>
      <c r="D51" s="7" t="s">
        <v>2122</v>
      </c>
      <c r="E51" s="8" t="s">
        <v>239</v>
      </c>
      <c r="F51" s="8">
        <v>117562150110</v>
      </c>
      <c r="G51" s="7" t="str">
        <f t="shared" si="0"/>
        <v>117562150110@r6-1.deped.gov.ph</v>
      </c>
      <c r="H51" s="8" t="str">
        <f t="shared" si="1"/>
        <v>calixton,302732</v>
      </c>
      <c r="I51" t="s">
        <v>14</v>
      </c>
    </row>
    <row r="52" spans="1:9" ht="12.75">
      <c r="A52" s="2">
        <v>49</v>
      </c>
      <c r="B52" s="7" t="s">
        <v>2102</v>
      </c>
      <c r="C52" s="7" t="s">
        <v>2123</v>
      </c>
      <c r="D52" s="7" t="s">
        <v>2124</v>
      </c>
      <c r="E52" s="8" t="s">
        <v>252</v>
      </c>
      <c r="F52" s="8">
        <v>600174150279</v>
      </c>
      <c r="G52" s="7" t="str">
        <f t="shared" si="0"/>
        <v>600174150279@r6-1.deped.gov.ph</v>
      </c>
      <c r="H52" s="8" t="str">
        <f t="shared" si="1"/>
        <v>cualbar,302732</v>
      </c>
      <c r="I52" t="s">
        <v>14</v>
      </c>
    </row>
    <row r="53" spans="1:9" ht="12.75">
      <c r="A53" s="2">
        <v>50</v>
      </c>
      <c r="B53" s="7" t="s">
        <v>2102</v>
      </c>
      <c r="C53" s="7" t="s">
        <v>2125</v>
      </c>
      <c r="D53" s="7" t="s">
        <v>2126</v>
      </c>
      <c r="E53" s="8" t="s">
        <v>245</v>
      </c>
      <c r="F53" s="8">
        <v>442002150042</v>
      </c>
      <c r="G53" s="7" t="str">
        <f t="shared" si="0"/>
        <v>442002150042@r6-1.deped.gov.ph</v>
      </c>
      <c r="H53" s="8" t="str">
        <f t="shared" si="1"/>
        <v>delina,302732</v>
      </c>
      <c r="I53" t="s">
        <v>14</v>
      </c>
    </row>
    <row r="54" spans="1:9" ht="12.75">
      <c r="A54" s="2">
        <v>51</v>
      </c>
      <c r="B54" s="7" t="s">
        <v>2102</v>
      </c>
      <c r="C54" s="7" t="s">
        <v>2127</v>
      </c>
      <c r="D54" s="7" t="s">
        <v>2128</v>
      </c>
      <c r="E54" s="8" t="s">
        <v>252</v>
      </c>
      <c r="F54" s="8">
        <v>117562150115</v>
      </c>
      <c r="G54" s="7" t="str">
        <f>IF(F54="","",F54&amp;"@r6-1.deped.gov.ph")</f>
        <v>117562150115@r6-1.deped.gov.ph</v>
      </c>
      <c r="H54" s="8" t="str">
        <f t="shared" si="1"/>
        <v>escaner,302732</v>
      </c>
      <c r="I54" t="s">
        <v>14</v>
      </c>
    </row>
    <row r="55" spans="1:9" ht="12.75">
      <c r="A55" s="2">
        <v>52</v>
      </c>
      <c r="B55" s="7" t="s">
        <v>2102</v>
      </c>
      <c r="C55" s="7" t="s">
        <v>2129</v>
      </c>
      <c r="D55" s="7" t="s">
        <v>2130</v>
      </c>
      <c r="E55" s="8" t="s">
        <v>268</v>
      </c>
      <c r="F55" s="8">
        <v>442005150073</v>
      </c>
      <c r="G55" s="7" t="str">
        <f t="shared" si="0"/>
        <v>442005150073@r6-1.deped.gov.ph</v>
      </c>
      <c r="H55" s="8" t="str">
        <f t="shared" si="1"/>
        <v>ilaya,302732</v>
      </c>
      <c r="I55" t="s">
        <v>14</v>
      </c>
    </row>
    <row r="56" spans="1:9" ht="12.75">
      <c r="A56" s="2">
        <v>53</v>
      </c>
      <c r="B56" s="7" t="s">
        <v>2102</v>
      </c>
      <c r="C56" s="7" t="s">
        <v>2131</v>
      </c>
      <c r="D56" s="7" t="s">
        <v>2132</v>
      </c>
      <c r="E56" s="8" t="s">
        <v>239</v>
      </c>
      <c r="F56" s="8">
        <v>117562160069</v>
      </c>
      <c r="G56" s="7" t="str">
        <f t="shared" si="0"/>
        <v>117562160069@r6-1.deped.gov.ph</v>
      </c>
      <c r="H56" s="8" t="str">
        <f t="shared" si="1"/>
        <v>layson,302732</v>
      </c>
      <c r="I56" t="s">
        <v>14</v>
      </c>
    </row>
    <row r="57" spans="1:9" ht="12.75">
      <c r="A57" s="2">
        <v>54</v>
      </c>
      <c r="B57" s="7" t="s">
        <v>2102</v>
      </c>
      <c r="C57" s="7" t="s">
        <v>2133</v>
      </c>
      <c r="D57" s="7" t="s">
        <v>2134</v>
      </c>
      <c r="E57" s="8" t="s">
        <v>268</v>
      </c>
      <c r="F57" s="8">
        <v>117540150070</v>
      </c>
      <c r="G57" s="7" t="str">
        <f t="shared" si="0"/>
        <v>117540150070@r6-1.deped.gov.ph</v>
      </c>
      <c r="H57" s="8" t="str">
        <f t="shared" si="1"/>
        <v>openio,302732</v>
      </c>
      <c r="I57" t="s">
        <v>14</v>
      </c>
    </row>
    <row r="58" spans="1:9" ht="12.75">
      <c r="A58" s="2">
        <v>55</v>
      </c>
      <c r="B58" s="7" t="s">
        <v>2102</v>
      </c>
      <c r="C58" s="7" t="s">
        <v>2135</v>
      </c>
      <c r="D58" s="7" t="s">
        <v>2136</v>
      </c>
      <c r="E58" s="8" t="s">
        <v>239</v>
      </c>
      <c r="F58" s="8">
        <v>442001150012</v>
      </c>
      <c r="G58" s="7" t="str">
        <f t="shared" si="0"/>
        <v>442001150012@r6-1.deped.gov.ph</v>
      </c>
      <c r="H58" s="8" t="str">
        <f t="shared" si="1"/>
        <v>palmes,302732</v>
      </c>
      <c r="I58" t="s">
        <v>14</v>
      </c>
    </row>
    <row r="59" spans="1:9" ht="12.75">
      <c r="A59" s="2">
        <v>56</v>
      </c>
      <c r="B59" s="7" t="s">
        <v>2102</v>
      </c>
      <c r="C59" s="7" t="s">
        <v>2137</v>
      </c>
      <c r="D59" s="7" t="s">
        <v>2138</v>
      </c>
      <c r="E59" s="8" t="s">
        <v>263</v>
      </c>
      <c r="F59" s="8">
        <v>117572160109</v>
      </c>
      <c r="G59" s="7" t="str">
        <f t="shared" si="0"/>
        <v>117572160109@r6-1.deped.gov.ph</v>
      </c>
      <c r="H59" s="8" t="str">
        <f t="shared" si="1"/>
        <v>pergoni,302732</v>
      </c>
      <c r="I59" t="s">
        <v>14</v>
      </c>
    </row>
    <row r="60" spans="1:9" ht="12.75">
      <c r="A60" s="2">
        <v>57</v>
      </c>
      <c r="B60" s="7" t="s">
        <v>2102</v>
      </c>
      <c r="C60" s="7" t="s">
        <v>1390</v>
      </c>
      <c r="D60" s="7" t="s">
        <v>2139</v>
      </c>
      <c r="E60" s="8" t="s">
        <v>257</v>
      </c>
      <c r="F60" s="8">
        <v>117562150048</v>
      </c>
      <c r="G60" s="7" t="str">
        <f t="shared" si="0"/>
        <v>117562150048@r6-1.deped.gov.ph</v>
      </c>
      <c r="H60" s="8" t="str">
        <f t="shared" si="1"/>
        <v>tario,302732</v>
      </c>
      <c r="I60" t="s">
        <v>14</v>
      </c>
    </row>
    <row r="61" spans="1:9" ht="12.75">
      <c r="A61" s="2">
        <v>58</v>
      </c>
      <c r="B61" s="7" t="s">
        <v>2102</v>
      </c>
      <c r="C61" s="7" t="s">
        <v>2140</v>
      </c>
      <c r="D61" s="7" t="s">
        <v>2141</v>
      </c>
      <c r="E61" s="8" t="s">
        <v>231</v>
      </c>
      <c r="F61" s="8">
        <v>117562150103</v>
      </c>
      <c r="G61" s="7" t="str">
        <f t="shared" si="0"/>
        <v>117562150103@r6-1.deped.gov.ph</v>
      </c>
      <c r="H61" s="8" t="str">
        <f t="shared" si="1"/>
        <v>terencio,302732</v>
      </c>
      <c r="I61" t="s">
        <v>14</v>
      </c>
    </row>
    <row r="62" spans="1:9" ht="12.75">
      <c r="A62" s="2">
        <v>59</v>
      </c>
      <c r="B62" s="7" t="s">
        <v>2102</v>
      </c>
      <c r="C62" s="7" t="s">
        <v>2142</v>
      </c>
      <c r="D62" s="7" t="s">
        <v>2143</v>
      </c>
      <c r="E62" s="8"/>
      <c r="F62" s="8">
        <v>117540150098</v>
      </c>
      <c r="G62" s="7" t="str">
        <f t="shared" si="0"/>
        <v>117540150098@r6-1.deped.gov.ph</v>
      </c>
      <c r="H62" s="8" t="str">
        <f t="shared" si="1"/>
        <v>torrecarion,302732</v>
      </c>
      <c r="I62" t="s">
        <v>14</v>
      </c>
    </row>
    <row r="63" spans="1:9" ht="12.75">
      <c r="A63" s="2">
        <v>60</v>
      </c>
      <c r="B63" s="7" t="s">
        <v>2102</v>
      </c>
      <c r="C63" s="7" t="s">
        <v>2144</v>
      </c>
      <c r="D63" s="7" t="s">
        <v>2145</v>
      </c>
      <c r="E63" s="8" t="s">
        <v>263</v>
      </c>
      <c r="F63" s="8">
        <v>117562150095</v>
      </c>
      <c r="G63" s="7" t="str">
        <f t="shared" si="0"/>
        <v>117562150095@r6-1.deped.gov.ph</v>
      </c>
      <c r="H63" s="8" t="str">
        <f t="shared" si="1"/>
        <v>torres,302732</v>
      </c>
      <c r="I63" t="s">
        <v>14</v>
      </c>
    </row>
    <row r="64" spans="1:9" ht="12.75">
      <c r="A64" s="2">
        <v>61</v>
      </c>
      <c r="B64" s="7" t="s">
        <v>2102</v>
      </c>
      <c r="C64" s="7" t="s">
        <v>2146</v>
      </c>
      <c r="D64" s="7" t="s">
        <v>2147</v>
      </c>
      <c r="E64" s="8" t="s">
        <v>245</v>
      </c>
      <c r="F64" s="8">
        <v>442005150057</v>
      </c>
      <c r="G64" s="7" t="str">
        <f t="shared" si="0"/>
        <v>442005150057@r6-1.deped.gov.ph</v>
      </c>
      <c r="H64" s="8" t="str">
        <f t="shared" si="1"/>
        <v>tumambo,302732</v>
      </c>
      <c r="I64" t="s">
        <v>14</v>
      </c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 t="str">
        <f t="shared" si="1"/>
        <v/>
      </c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0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0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ref="G261:G503" si="2">IF(F261="","",F261&amp;"@r6-1.deped.gov.ph")</f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2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2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2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2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2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2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2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2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2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2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2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2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2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2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2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2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2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2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2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2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2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2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2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2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2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2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2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2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2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2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2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2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2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2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2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2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2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2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2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2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2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2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2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2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2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2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2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2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2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2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2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2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2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2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2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2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2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2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2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2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2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2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2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2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2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2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2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2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2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2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2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2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2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2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2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2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2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2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2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2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2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2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2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2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2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2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2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2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2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2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2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2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2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2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2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2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2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2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2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2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2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2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2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2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2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2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2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2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2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2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2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2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2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2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2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2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2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2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2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2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2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2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2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2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2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2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2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2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2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2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2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2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2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2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2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2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2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2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2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2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2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2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2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2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2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2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2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2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2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2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2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2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2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2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2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2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2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2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2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2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2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2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2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2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2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2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2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2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2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2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2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2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2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2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2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2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2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2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2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2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2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2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2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2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2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2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2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2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2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2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2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2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2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2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2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2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2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2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2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2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2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2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2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2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2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2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2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2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2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2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2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2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2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2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2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2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2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2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2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2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2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2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2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2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2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2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2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2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2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2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2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2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2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2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2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2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2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2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2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2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2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2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002"/>
  <sheetViews>
    <sheetView topLeftCell="B1" workbookViewId="0">
      <pane ySplit="3" topLeftCell="A123" activePane="bottomLeft" state="frozen"/>
      <selection pane="bottomLeft" activeCell="I65" sqref="I6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2148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2149</v>
      </c>
      <c r="C4" s="7" t="s">
        <v>2150</v>
      </c>
      <c r="D4" s="7" t="s">
        <v>2151</v>
      </c>
      <c r="E4" s="8" t="s">
        <v>245</v>
      </c>
      <c r="F4" s="8">
        <v>482665150009</v>
      </c>
      <c r="G4" s="7" t="str">
        <f t="shared" ref="G4:G67" si="0">IF(F4="","",F4&amp;"@r6-1.deped.gov.ph")</f>
        <v>482665150009@r6-1.deped.gov.ph</v>
      </c>
      <c r="H4" s="8" t="str">
        <f>IF(C4="","",LOWER(C4)&amp;",302727")</f>
        <v>berja,302727</v>
      </c>
      <c r="I4" t="s">
        <v>14</v>
      </c>
    </row>
    <row r="5" spans="1:11" ht="12.75">
      <c r="A5" s="2">
        <v>2</v>
      </c>
      <c r="B5" s="7" t="s">
        <v>2149</v>
      </c>
      <c r="C5" s="7" t="s">
        <v>1228</v>
      </c>
      <c r="D5" s="7" t="s">
        <v>2152</v>
      </c>
      <c r="E5" s="8"/>
      <c r="F5" s="8">
        <v>117575150052</v>
      </c>
      <c r="G5" s="7" t="str">
        <f t="shared" si="0"/>
        <v>117575150052@r6-1.deped.gov.ph</v>
      </c>
      <c r="H5" s="8" t="str">
        <f t="shared" ref="H5:H36" si="1">IF(C5="","",LOWER(C5)&amp;",302727")</f>
        <v>blanca,302727</v>
      </c>
      <c r="I5" t="s">
        <v>14</v>
      </c>
    </row>
    <row r="6" spans="1:11" ht="12.75">
      <c r="A6" s="2">
        <v>3</v>
      </c>
      <c r="B6" s="7" t="s">
        <v>2149</v>
      </c>
      <c r="C6" s="7" t="s">
        <v>2153</v>
      </c>
      <c r="D6" s="7" t="s">
        <v>2154</v>
      </c>
      <c r="E6" s="8" t="s">
        <v>239</v>
      </c>
      <c r="F6" s="8">
        <v>119049150019</v>
      </c>
      <c r="G6" s="7" t="str">
        <f t="shared" si="0"/>
        <v>119049150019@r6-1.deped.gov.ph</v>
      </c>
      <c r="H6" s="8" t="str">
        <f t="shared" si="1"/>
        <v>cañete,302727</v>
      </c>
      <c r="I6" t="s">
        <v>14</v>
      </c>
    </row>
    <row r="7" spans="1:11" ht="12.75">
      <c r="A7" s="2">
        <v>4</v>
      </c>
      <c r="B7" s="7" t="s">
        <v>2149</v>
      </c>
      <c r="C7" s="7" t="s">
        <v>229</v>
      </c>
      <c r="D7" s="7" t="s">
        <v>2155</v>
      </c>
      <c r="E7" s="8" t="s">
        <v>361</v>
      </c>
      <c r="F7" s="8">
        <v>117575150029</v>
      </c>
      <c r="G7" s="7" t="str">
        <f t="shared" si="0"/>
        <v>117575150029@r6-1.deped.gov.ph</v>
      </c>
      <c r="H7" s="8" t="str">
        <f t="shared" si="1"/>
        <v>chavez,302727</v>
      </c>
      <c r="I7" t="s">
        <v>14</v>
      </c>
    </row>
    <row r="8" spans="1:11" ht="12.75">
      <c r="A8" s="2">
        <v>5</v>
      </c>
      <c r="B8" s="7" t="s">
        <v>2149</v>
      </c>
      <c r="C8" s="7" t="s">
        <v>2156</v>
      </c>
      <c r="D8" s="7" t="s">
        <v>2157</v>
      </c>
      <c r="E8" s="8" t="s">
        <v>294</v>
      </c>
      <c r="F8" s="8">
        <v>117575150031</v>
      </c>
      <c r="G8" s="7" t="str">
        <f t="shared" si="0"/>
        <v>117575150031@r6-1.deped.gov.ph</v>
      </c>
      <c r="H8" s="8" t="str">
        <f t="shared" si="1"/>
        <v>ga-ang,302727</v>
      </c>
      <c r="I8" t="s">
        <v>14</v>
      </c>
    </row>
    <row r="9" spans="1:11" ht="12.75">
      <c r="A9" s="2">
        <v>6</v>
      </c>
      <c r="B9" s="7" t="s">
        <v>2149</v>
      </c>
      <c r="C9" s="7" t="s">
        <v>644</v>
      </c>
      <c r="D9" s="7" t="s">
        <v>2158</v>
      </c>
      <c r="E9" s="8" t="s">
        <v>245</v>
      </c>
      <c r="F9" s="8">
        <v>117575150062</v>
      </c>
      <c r="G9" s="7" t="str">
        <f t="shared" si="0"/>
        <v>117575150062@r6-1.deped.gov.ph</v>
      </c>
      <c r="H9" s="8" t="str">
        <f t="shared" si="1"/>
        <v>gomez,302727</v>
      </c>
      <c r="I9" t="s">
        <v>14</v>
      </c>
    </row>
    <row r="10" spans="1:11" ht="12.75">
      <c r="A10" s="2">
        <v>7</v>
      </c>
      <c r="B10" s="7" t="s">
        <v>2149</v>
      </c>
      <c r="C10" s="7" t="s">
        <v>504</v>
      </c>
      <c r="D10" s="7" t="s">
        <v>2159</v>
      </c>
      <c r="E10" s="8" t="s">
        <v>257</v>
      </c>
      <c r="F10" s="8">
        <v>117574150052</v>
      </c>
      <c r="G10" s="7" t="str">
        <f t="shared" si="0"/>
        <v>117574150052@r6-1.deped.gov.ph</v>
      </c>
      <c r="H10" s="8" t="str">
        <f t="shared" si="1"/>
        <v>inocencio,302727</v>
      </c>
      <c r="I10" t="s">
        <v>14</v>
      </c>
    </row>
    <row r="11" spans="1:11" ht="12.75">
      <c r="A11" s="2">
        <v>8</v>
      </c>
      <c r="B11" s="7" t="s">
        <v>2149</v>
      </c>
      <c r="C11" s="7" t="s">
        <v>855</v>
      </c>
      <c r="D11" s="7" t="s">
        <v>2160</v>
      </c>
      <c r="E11" s="8" t="s">
        <v>739</v>
      </c>
      <c r="F11" s="8">
        <v>117575150032</v>
      </c>
      <c r="G11" s="7" t="str">
        <f t="shared" si="0"/>
        <v>117575150032@r6-1.deped.gov.ph</v>
      </c>
      <c r="H11" s="8" t="str">
        <f t="shared" si="1"/>
        <v>jabaybay,302727</v>
      </c>
      <c r="I11" t="s">
        <v>14</v>
      </c>
    </row>
    <row r="12" spans="1:11" ht="12.75">
      <c r="A12" s="2">
        <v>9</v>
      </c>
      <c r="B12" s="7" t="s">
        <v>2149</v>
      </c>
      <c r="C12" s="7" t="s">
        <v>2161</v>
      </c>
      <c r="D12" s="7" t="s">
        <v>2162</v>
      </c>
      <c r="E12" s="8" t="s">
        <v>263</v>
      </c>
      <c r="F12" s="8">
        <v>117565150004</v>
      </c>
      <c r="G12" s="7" t="str">
        <f t="shared" si="0"/>
        <v>117565150004@r6-1.deped.gov.ph</v>
      </c>
      <c r="H12" s="8" t="str">
        <f t="shared" si="1"/>
        <v>ko,302727</v>
      </c>
      <c r="I12" t="s">
        <v>14</v>
      </c>
    </row>
    <row r="13" spans="1:11" ht="12.75">
      <c r="A13" s="2">
        <v>10</v>
      </c>
      <c r="B13" s="7" t="s">
        <v>2149</v>
      </c>
      <c r="C13" s="7" t="s">
        <v>2163</v>
      </c>
      <c r="D13" s="7" t="s">
        <v>2164</v>
      </c>
      <c r="E13" s="8" t="s">
        <v>311</v>
      </c>
      <c r="F13" s="8">
        <v>117575150006</v>
      </c>
      <c r="G13" s="7" t="str">
        <f t="shared" si="0"/>
        <v>117575150006@r6-1.deped.gov.ph</v>
      </c>
      <c r="H13" s="8" t="str">
        <f t="shared" si="1"/>
        <v>ledesma,302727</v>
      </c>
      <c r="I13" t="s">
        <v>14</v>
      </c>
    </row>
    <row r="14" spans="1:11" ht="12.75">
      <c r="A14" s="2">
        <v>11</v>
      </c>
      <c r="B14" s="7" t="s">
        <v>2149</v>
      </c>
      <c r="C14" s="7" t="s">
        <v>2165</v>
      </c>
      <c r="D14" s="7" t="s">
        <v>2166</v>
      </c>
      <c r="E14" s="8" t="s">
        <v>242</v>
      </c>
      <c r="F14" s="8">
        <v>117575160011</v>
      </c>
      <c r="G14" s="7" t="str">
        <f t="shared" si="0"/>
        <v>117575160011@r6-1.deped.gov.ph</v>
      </c>
      <c r="H14" s="8" t="str">
        <f t="shared" si="1"/>
        <v>moratas,302727</v>
      </c>
      <c r="I14" t="s">
        <v>14</v>
      </c>
    </row>
    <row r="15" spans="1:11" ht="12.75">
      <c r="A15" s="2">
        <v>12</v>
      </c>
      <c r="B15" s="7" t="s">
        <v>2149</v>
      </c>
      <c r="C15" s="7" t="s">
        <v>2167</v>
      </c>
      <c r="D15" s="7" t="s">
        <v>2168</v>
      </c>
      <c r="E15" s="8" t="s">
        <v>245</v>
      </c>
      <c r="F15" s="8">
        <v>117575150011</v>
      </c>
      <c r="G15" s="7" t="str">
        <f t="shared" si="0"/>
        <v>117575150011@r6-1.deped.gov.ph</v>
      </c>
      <c r="H15" s="8" t="str">
        <f t="shared" si="1"/>
        <v>perlado,302727</v>
      </c>
      <c r="I15" t="s">
        <v>14</v>
      </c>
    </row>
    <row r="16" spans="1:11" ht="12.75">
      <c r="A16" s="2">
        <v>13</v>
      </c>
      <c r="B16" s="7" t="s">
        <v>2149</v>
      </c>
      <c r="C16" s="7" t="s">
        <v>2167</v>
      </c>
      <c r="D16" s="7" t="s">
        <v>2169</v>
      </c>
      <c r="E16" s="8" t="s">
        <v>268</v>
      </c>
      <c r="F16" s="8">
        <v>117575150063</v>
      </c>
      <c r="G16" s="7" t="str">
        <f t="shared" si="0"/>
        <v>117575150063@r6-1.deped.gov.ph</v>
      </c>
      <c r="H16" s="8" t="str">
        <f t="shared" si="1"/>
        <v>perlado,302727</v>
      </c>
      <c r="I16" t="s">
        <v>14</v>
      </c>
    </row>
    <row r="17" spans="1:9" ht="12.75">
      <c r="A17" s="2">
        <v>14</v>
      </c>
      <c r="B17" s="7" t="s">
        <v>2149</v>
      </c>
      <c r="C17" s="7" t="s">
        <v>2170</v>
      </c>
      <c r="D17" s="7" t="s">
        <v>2014</v>
      </c>
      <c r="E17" s="8" t="s">
        <v>281</v>
      </c>
      <c r="F17" s="8">
        <v>117565150008</v>
      </c>
      <c r="G17" s="7" t="str">
        <f t="shared" si="0"/>
        <v>117565150008@r6-1.deped.gov.ph</v>
      </c>
      <c r="H17" s="8" t="str">
        <f t="shared" si="1"/>
        <v>seria,302727</v>
      </c>
      <c r="I17" t="s">
        <v>14</v>
      </c>
    </row>
    <row r="18" spans="1:9" ht="12.75">
      <c r="A18" s="2">
        <v>15</v>
      </c>
      <c r="B18" s="7" t="s">
        <v>2149</v>
      </c>
      <c r="C18" s="7" t="s">
        <v>2171</v>
      </c>
      <c r="D18" s="7" t="s">
        <v>1180</v>
      </c>
      <c r="E18" s="8" t="s">
        <v>252</v>
      </c>
      <c r="F18" s="8">
        <v>117565150010</v>
      </c>
      <c r="G18" s="7" t="str">
        <f t="shared" si="0"/>
        <v>117565150010@r6-1.deped.gov.ph</v>
      </c>
      <c r="H18" s="8" t="str">
        <f t="shared" si="1"/>
        <v>tomaclas,302727</v>
      </c>
      <c r="I18" t="s">
        <v>14</v>
      </c>
    </row>
    <row r="19" spans="1:9" ht="12.75">
      <c r="A19" s="2">
        <v>16</v>
      </c>
      <c r="B19" s="7" t="s">
        <v>2149</v>
      </c>
      <c r="C19" s="7" t="s">
        <v>2172</v>
      </c>
      <c r="D19" s="7" t="s">
        <v>2173</v>
      </c>
      <c r="E19" s="8" t="s">
        <v>294</v>
      </c>
      <c r="F19" s="8">
        <v>117575150053</v>
      </c>
      <c r="G19" s="7" t="str">
        <f t="shared" si="0"/>
        <v>117575150053@r6-1.deped.gov.ph</v>
      </c>
      <c r="H19" s="8" t="str">
        <f t="shared" si="1"/>
        <v>arangote,302727</v>
      </c>
      <c r="I19" t="s">
        <v>14</v>
      </c>
    </row>
    <row r="20" spans="1:9" ht="12.75">
      <c r="A20" s="2">
        <v>17</v>
      </c>
      <c r="B20" s="7" t="s">
        <v>2149</v>
      </c>
      <c r="C20" s="7" t="s">
        <v>2174</v>
      </c>
      <c r="D20" s="7" t="s">
        <v>746</v>
      </c>
      <c r="E20" s="8" t="s">
        <v>231</v>
      </c>
      <c r="F20" s="8">
        <v>117575150067</v>
      </c>
      <c r="G20" s="7" t="str">
        <f t="shared" si="0"/>
        <v>117575150067@r6-1.deped.gov.ph</v>
      </c>
      <c r="H20" s="8" t="str">
        <f t="shared" si="1"/>
        <v>britaña,302727</v>
      </c>
      <c r="I20" t="s">
        <v>14</v>
      </c>
    </row>
    <row r="21" spans="1:9" ht="12.75">
      <c r="A21" s="2">
        <v>18</v>
      </c>
      <c r="B21" s="7" t="s">
        <v>2149</v>
      </c>
      <c r="C21" s="7" t="s">
        <v>577</v>
      </c>
      <c r="D21" s="7" t="s">
        <v>2175</v>
      </c>
      <c r="E21" s="8" t="s">
        <v>245</v>
      </c>
      <c r="F21" s="8">
        <v>117575150037</v>
      </c>
      <c r="G21" s="7" t="str">
        <f t="shared" si="0"/>
        <v>117575150037@r6-1.deped.gov.ph</v>
      </c>
      <c r="H21" s="8" t="str">
        <f t="shared" si="1"/>
        <v>caratao,302727</v>
      </c>
      <c r="I21" t="s">
        <v>14</v>
      </c>
    </row>
    <row r="22" spans="1:9" ht="12.75">
      <c r="A22" s="2">
        <v>19</v>
      </c>
      <c r="B22" s="7" t="s">
        <v>2149</v>
      </c>
      <c r="C22" s="7" t="s">
        <v>2176</v>
      </c>
      <c r="D22" s="7" t="s">
        <v>2177</v>
      </c>
      <c r="E22" s="8" t="s">
        <v>444</v>
      </c>
      <c r="F22" s="8">
        <v>117575150065</v>
      </c>
      <c r="G22" s="7" t="str">
        <f t="shared" si="0"/>
        <v>117575150065@r6-1.deped.gov.ph</v>
      </c>
      <c r="H22" s="8" t="str">
        <f t="shared" si="1"/>
        <v>castellano,302727</v>
      </c>
      <c r="I22" t="s">
        <v>14</v>
      </c>
    </row>
    <row r="23" spans="1:9" ht="12.75">
      <c r="A23" s="2">
        <v>20</v>
      </c>
      <c r="B23" s="7" t="s">
        <v>2149</v>
      </c>
      <c r="C23" s="7" t="s">
        <v>229</v>
      </c>
      <c r="D23" s="7" t="s">
        <v>2178</v>
      </c>
      <c r="E23" s="8" t="s">
        <v>260</v>
      </c>
      <c r="F23" s="8">
        <v>117575150055</v>
      </c>
      <c r="G23" s="7" t="str">
        <f t="shared" si="0"/>
        <v>117575150055@r6-1.deped.gov.ph</v>
      </c>
      <c r="H23" s="8" t="str">
        <f t="shared" si="1"/>
        <v>chavez,302727</v>
      </c>
      <c r="I23" t="s">
        <v>14</v>
      </c>
    </row>
    <row r="24" spans="1:9" ht="12.75">
      <c r="A24" s="2">
        <v>21</v>
      </c>
      <c r="B24" s="7" t="s">
        <v>2149</v>
      </c>
      <c r="C24" s="7" t="s">
        <v>2179</v>
      </c>
      <c r="D24" s="7" t="s">
        <v>2180</v>
      </c>
      <c r="E24" s="8" t="s">
        <v>239</v>
      </c>
      <c r="F24" s="8">
        <v>117575150038</v>
      </c>
      <c r="G24" s="7" t="str">
        <f t="shared" si="0"/>
        <v>117575150038@r6-1.deped.gov.ph</v>
      </c>
      <c r="H24" s="8" t="str">
        <f t="shared" si="1"/>
        <v>danico,302727</v>
      </c>
      <c r="I24" t="s">
        <v>14</v>
      </c>
    </row>
    <row r="25" spans="1:9" ht="12.75">
      <c r="A25" s="2">
        <v>22</v>
      </c>
      <c r="B25" s="7" t="s">
        <v>2149</v>
      </c>
      <c r="C25" s="7" t="s">
        <v>2181</v>
      </c>
      <c r="D25" s="7" t="s">
        <v>647</v>
      </c>
      <c r="E25" s="8" t="s">
        <v>263</v>
      </c>
      <c r="F25" s="8">
        <v>117575150040</v>
      </c>
      <c r="G25" s="7" t="str">
        <f t="shared" si="0"/>
        <v>117575150040@r6-1.deped.gov.ph</v>
      </c>
      <c r="H25" s="8" t="str">
        <f t="shared" si="1"/>
        <v>dejar,302727</v>
      </c>
      <c r="I25" t="s">
        <v>14</v>
      </c>
    </row>
    <row r="26" spans="1:9" ht="12.75">
      <c r="A26" s="2">
        <v>23</v>
      </c>
      <c r="B26" s="7" t="s">
        <v>2149</v>
      </c>
      <c r="C26" s="7" t="s">
        <v>314</v>
      </c>
      <c r="D26" s="7" t="s">
        <v>2182</v>
      </c>
      <c r="E26" s="8" t="s">
        <v>268</v>
      </c>
      <c r="F26" s="8">
        <v>117575150056</v>
      </c>
      <c r="G26" s="7" t="str">
        <f t="shared" si="0"/>
        <v>117575150056@r6-1.deped.gov.ph</v>
      </c>
      <c r="H26" s="8" t="str">
        <f t="shared" si="1"/>
        <v>dela cruz,302727</v>
      </c>
      <c r="I26" t="s">
        <v>14</v>
      </c>
    </row>
    <row r="27" spans="1:9" ht="12.75">
      <c r="A27" s="2">
        <v>24</v>
      </c>
      <c r="B27" s="7" t="s">
        <v>2149</v>
      </c>
      <c r="C27" s="7" t="s">
        <v>316</v>
      </c>
      <c r="D27" s="7" t="s">
        <v>2183</v>
      </c>
      <c r="E27" s="8" t="s">
        <v>231</v>
      </c>
      <c r="F27" s="8">
        <v>116101150036</v>
      </c>
      <c r="G27" s="7" t="str">
        <f t="shared" si="0"/>
        <v>116101150036@r6-1.deped.gov.ph</v>
      </c>
      <c r="H27" s="8" t="str">
        <f t="shared" si="1"/>
        <v>dela peña,302727</v>
      </c>
      <c r="I27" t="s">
        <v>14</v>
      </c>
    </row>
    <row r="28" spans="1:9" ht="12.75">
      <c r="A28" s="2">
        <v>25</v>
      </c>
      <c r="B28" s="7" t="s">
        <v>2149</v>
      </c>
      <c r="C28" s="7" t="s">
        <v>318</v>
      </c>
      <c r="D28" s="7" t="s">
        <v>2184</v>
      </c>
      <c r="E28" s="8"/>
      <c r="F28" s="8">
        <v>117575150017</v>
      </c>
      <c r="G28" s="7" t="str">
        <f t="shared" si="0"/>
        <v>117575150017@r6-1.deped.gov.ph</v>
      </c>
      <c r="H28" s="8" t="str">
        <f t="shared" si="1"/>
        <v>dela rosa,302727</v>
      </c>
      <c r="I28" t="s">
        <v>14</v>
      </c>
    </row>
    <row r="29" spans="1:9" ht="12.75">
      <c r="A29" s="2">
        <v>26</v>
      </c>
      <c r="B29" s="7" t="s">
        <v>2149</v>
      </c>
      <c r="C29" s="7" t="s">
        <v>2185</v>
      </c>
      <c r="D29" s="7" t="s">
        <v>2028</v>
      </c>
      <c r="E29" s="8" t="s">
        <v>311</v>
      </c>
      <c r="F29" s="8">
        <v>117571150059</v>
      </c>
      <c r="G29" s="7" t="str">
        <f t="shared" si="0"/>
        <v>117571150059@r6-1.deped.gov.ph</v>
      </c>
      <c r="H29" s="8" t="str">
        <f t="shared" si="1"/>
        <v>endiera,302727</v>
      </c>
      <c r="I29" t="s">
        <v>14</v>
      </c>
    </row>
    <row r="30" spans="1:9" ht="12.75">
      <c r="A30" s="2">
        <v>27</v>
      </c>
      <c r="B30" s="7" t="s">
        <v>2149</v>
      </c>
      <c r="C30" s="7" t="s">
        <v>1945</v>
      </c>
      <c r="D30" s="7" t="s">
        <v>2186</v>
      </c>
      <c r="E30" s="8" t="s">
        <v>255</v>
      </c>
      <c r="F30" s="8">
        <v>136574150334</v>
      </c>
      <c r="G30" s="7" t="str">
        <f t="shared" si="0"/>
        <v>136574150334@r6-1.deped.gov.ph</v>
      </c>
      <c r="H30" s="8" t="str">
        <f t="shared" si="1"/>
        <v>gregorio,302727</v>
      </c>
      <c r="I30" t="s">
        <v>14</v>
      </c>
    </row>
    <row r="31" spans="1:9" ht="12.75">
      <c r="A31" s="2">
        <v>28</v>
      </c>
      <c r="B31" s="7" t="s">
        <v>2149</v>
      </c>
      <c r="C31" s="7" t="s">
        <v>1282</v>
      </c>
      <c r="D31" s="7" t="s">
        <v>2187</v>
      </c>
      <c r="E31" s="8" t="s">
        <v>263</v>
      </c>
      <c r="F31" s="8">
        <v>117575150059</v>
      </c>
      <c r="G31" s="7" t="str">
        <f t="shared" si="0"/>
        <v>117575150059@r6-1.deped.gov.ph</v>
      </c>
      <c r="H31" s="8" t="str">
        <f t="shared" si="1"/>
        <v>nuñal,302727</v>
      </c>
      <c r="I31" t="s">
        <v>14</v>
      </c>
    </row>
    <row r="32" spans="1:9" ht="12.75">
      <c r="A32" s="2">
        <v>29</v>
      </c>
      <c r="B32" s="7" t="s">
        <v>2149</v>
      </c>
      <c r="C32" s="7" t="s">
        <v>2188</v>
      </c>
      <c r="D32" s="7" t="s">
        <v>2189</v>
      </c>
      <c r="E32" s="8" t="s">
        <v>309</v>
      </c>
      <c r="F32" s="8">
        <v>136779150263</v>
      </c>
      <c r="G32" s="7" t="str">
        <f t="shared" si="0"/>
        <v>136779150263@r6-1.deped.gov.ph</v>
      </c>
      <c r="H32" s="8" t="str">
        <f t="shared" si="1"/>
        <v>paulino,302727</v>
      </c>
      <c r="I32" t="s">
        <v>14</v>
      </c>
    </row>
    <row r="33" spans="1:9" ht="12.75">
      <c r="A33" s="2">
        <v>30</v>
      </c>
      <c r="B33" s="7" t="s">
        <v>2149</v>
      </c>
      <c r="C33" s="7" t="s">
        <v>2167</v>
      </c>
      <c r="D33" s="7" t="s">
        <v>2190</v>
      </c>
      <c r="E33" s="8" t="s">
        <v>268</v>
      </c>
      <c r="F33" s="8">
        <v>117575150042</v>
      </c>
      <c r="G33" s="7" t="str">
        <f t="shared" si="0"/>
        <v>117575150042@r6-1.deped.gov.ph</v>
      </c>
      <c r="H33" s="8" t="str">
        <f t="shared" si="1"/>
        <v>perlado,302727</v>
      </c>
      <c r="I33" t="s">
        <v>14</v>
      </c>
    </row>
    <row r="34" spans="1:9" ht="12.75">
      <c r="A34" s="2">
        <v>31</v>
      </c>
      <c r="B34" s="7" t="s">
        <v>2149</v>
      </c>
      <c r="C34" s="7" t="s">
        <v>2191</v>
      </c>
      <c r="D34" s="7" t="s">
        <v>2192</v>
      </c>
      <c r="E34" s="8" t="s">
        <v>242</v>
      </c>
      <c r="F34" s="8">
        <v>117575150077</v>
      </c>
      <c r="G34" s="7" t="str">
        <f t="shared" si="0"/>
        <v>117575150077@r6-1.deped.gov.ph</v>
      </c>
      <c r="H34" s="8" t="str">
        <f t="shared" si="1"/>
        <v>tiwana,302727</v>
      </c>
      <c r="I34" t="s">
        <v>14</v>
      </c>
    </row>
    <row r="35" spans="1:9" ht="12.75">
      <c r="A35" s="2">
        <v>32</v>
      </c>
      <c r="B35" s="7" t="s">
        <v>2149</v>
      </c>
      <c r="C35" s="7" t="s">
        <v>2193</v>
      </c>
      <c r="D35" s="7" t="s">
        <v>2194</v>
      </c>
      <c r="E35" s="8" t="s">
        <v>231</v>
      </c>
      <c r="F35" s="8">
        <v>117575150025</v>
      </c>
      <c r="G35" s="7" t="str">
        <f t="shared" si="0"/>
        <v>117575150025@r6-1.deped.gov.ph</v>
      </c>
      <c r="H35" s="8" t="str">
        <f t="shared" si="1"/>
        <v>tumangan,302727</v>
      </c>
      <c r="I35" t="s">
        <v>14</v>
      </c>
    </row>
    <row r="36" spans="1:9" ht="12.75">
      <c r="A36" s="2">
        <v>33</v>
      </c>
      <c r="B36" s="7" t="s">
        <v>2149</v>
      </c>
      <c r="C36" s="7" t="s">
        <v>91</v>
      </c>
      <c r="D36" s="7" t="s">
        <v>2195</v>
      </c>
      <c r="E36" s="8" t="s">
        <v>242</v>
      </c>
      <c r="F36" s="8">
        <v>117575150043</v>
      </c>
      <c r="G36" s="7" t="str">
        <f t="shared" si="0"/>
        <v>117575150043@r6-1.deped.gov.ph</v>
      </c>
      <c r="H36" s="8" t="str">
        <f t="shared" si="1"/>
        <v>valencia,302727</v>
      </c>
      <c r="I36" t="s">
        <v>14</v>
      </c>
    </row>
    <row r="37" spans="1:9" ht="12.75">
      <c r="A37" s="2">
        <v>34</v>
      </c>
      <c r="B37" s="7" t="s">
        <v>2149</v>
      </c>
      <c r="C37" s="7" t="s">
        <v>91</v>
      </c>
      <c r="D37" s="7" t="s">
        <v>2196</v>
      </c>
      <c r="E37" s="8" t="s">
        <v>239</v>
      </c>
      <c r="F37" s="8">
        <v>117575150071</v>
      </c>
      <c r="G37" s="7" t="str">
        <f t="shared" si="0"/>
        <v>117575150071@r6-1.deped.gov.ph</v>
      </c>
      <c r="H37" s="8" t="str">
        <f t="shared" ref="H37:H76" si="2">IF(C37="","",LOWER(C37)&amp;",302727")</f>
        <v>valencia,302727</v>
      </c>
      <c r="I37" t="s">
        <v>14</v>
      </c>
    </row>
    <row r="38" spans="1:9" ht="12.75">
      <c r="A38" s="2">
        <v>35</v>
      </c>
      <c r="B38" s="7"/>
      <c r="C38" s="7"/>
      <c r="D38" s="7"/>
      <c r="E38" s="8"/>
      <c r="F38" s="8"/>
      <c r="G38" s="7" t="str">
        <f t="shared" si="0"/>
        <v/>
      </c>
      <c r="H38" s="8" t="str">
        <f t="shared" si="2"/>
        <v/>
      </c>
    </row>
    <row r="39" spans="1:9" ht="12.75">
      <c r="A39" s="2">
        <v>36</v>
      </c>
      <c r="B39" s="7" t="s">
        <v>2197</v>
      </c>
      <c r="C39" s="7" t="s">
        <v>659</v>
      </c>
      <c r="D39" s="7" t="s">
        <v>660</v>
      </c>
      <c r="E39" s="8" t="s">
        <v>263</v>
      </c>
      <c r="F39" s="8">
        <v>117575150004</v>
      </c>
      <c r="G39" s="7" t="str">
        <f t="shared" si="0"/>
        <v>117575150004@r6-1.deped.gov.ph</v>
      </c>
      <c r="H39" s="8" t="str">
        <f t="shared" si="2"/>
        <v>beira,302727</v>
      </c>
      <c r="I39" t="s">
        <v>14</v>
      </c>
    </row>
    <row r="40" spans="1:9" ht="12.75">
      <c r="A40" s="2">
        <v>37</v>
      </c>
      <c r="B40" s="7" t="s">
        <v>2197</v>
      </c>
      <c r="C40" s="7" t="s">
        <v>1087</v>
      </c>
      <c r="D40" s="7" t="s">
        <v>2198</v>
      </c>
      <c r="E40" s="8" t="s">
        <v>252</v>
      </c>
      <c r="F40" s="8">
        <v>117575150061</v>
      </c>
      <c r="G40" s="7" t="str">
        <f t="shared" si="0"/>
        <v>117575150061@r6-1.deped.gov.ph</v>
      </c>
      <c r="H40" s="8" t="str">
        <f t="shared" si="2"/>
        <v>britania,302727</v>
      </c>
      <c r="I40" t="s">
        <v>14</v>
      </c>
    </row>
    <row r="41" spans="1:9" ht="12.75">
      <c r="A41" s="2">
        <v>38</v>
      </c>
      <c r="B41" s="7" t="s">
        <v>2197</v>
      </c>
      <c r="C41" s="7" t="s">
        <v>1087</v>
      </c>
      <c r="D41" s="7" t="s">
        <v>2199</v>
      </c>
      <c r="E41" s="8" t="s">
        <v>252</v>
      </c>
      <c r="F41" s="8">
        <v>117575140041</v>
      </c>
      <c r="G41" s="7" t="str">
        <f t="shared" si="0"/>
        <v>117575140041@r6-1.deped.gov.ph</v>
      </c>
      <c r="H41" s="8" t="str">
        <f t="shared" si="2"/>
        <v>britania,302727</v>
      </c>
      <c r="I41" t="s">
        <v>14</v>
      </c>
    </row>
    <row r="42" spans="1:9" ht="12.75">
      <c r="A42" s="2">
        <v>39</v>
      </c>
      <c r="B42" s="7" t="s">
        <v>2197</v>
      </c>
      <c r="C42" s="7" t="s">
        <v>2200</v>
      </c>
      <c r="D42" s="7" t="s">
        <v>2201</v>
      </c>
      <c r="E42" s="8" t="s">
        <v>263</v>
      </c>
      <c r="F42" s="8">
        <v>117575150003</v>
      </c>
      <c r="G42" s="7" t="str">
        <f t="shared" si="0"/>
        <v>117575150003@r6-1.deped.gov.ph</v>
      </c>
      <c r="H42" s="8" t="str">
        <f t="shared" si="2"/>
        <v>conde,302727</v>
      </c>
      <c r="I42" t="s">
        <v>14</v>
      </c>
    </row>
    <row r="43" spans="1:9" ht="12.75">
      <c r="A43" s="2">
        <v>40</v>
      </c>
      <c r="B43" s="7" t="s">
        <v>2197</v>
      </c>
      <c r="C43" s="7" t="s">
        <v>2179</v>
      </c>
      <c r="D43" s="7" t="s">
        <v>2202</v>
      </c>
      <c r="E43" s="8" t="s">
        <v>361</v>
      </c>
      <c r="F43" s="8">
        <v>117574130012</v>
      </c>
      <c r="G43" s="7" t="str">
        <f t="shared" si="0"/>
        <v>117574130012@r6-1.deped.gov.ph</v>
      </c>
      <c r="H43" s="8" t="str">
        <f t="shared" si="2"/>
        <v>danico,302727</v>
      </c>
      <c r="I43" t="s">
        <v>14</v>
      </c>
    </row>
    <row r="44" spans="1:9" ht="12.75">
      <c r="A44" s="2">
        <v>41</v>
      </c>
      <c r="B44" s="7" t="s">
        <v>2197</v>
      </c>
      <c r="C44" s="7" t="s">
        <v>2203</v>
      </c>
      <c r="D44" s="7" t="s">
        <v>2204</v>
      </c>
      <c r="E44" s="8" t="s">
        <v>245</v>
      </c>
      <c r="F44" s="8">
        <v>117575150073</v>
      </c>
      <c r="G44" s="7" t="str">
        <f t="shared" si="0"/>
        <v>117575150073@r6-1.deped.gov.ph</v>
      </c>
      <c r="H44" s="8" t="str">
        <f t="shared" si="2"/>
        <v>dequinto,302727</v>
      </c>
      <c r="I44" t="s">
        <v>14</v>
      </c>
    </row>
    <row r="45" spans="1:9" ht="12.75">
      <c r="A45" s="2">
        <v>42</v>
      </c>
      <c r="B45" s="7" t="s">
        <v>2197</v>
      </c>
      <c r="C45" s="7" t="s">
        <v>2205</v>
      </c>
      <c r="D45" s="7" t="s">
        <v>2206</v>
      </c>
      <c r="E45" s="8" t="s">
        <v>268</v>
      </c>
      <c r="F45" s="8">
        <v>116800150041</v>
      </c>
      <c r="G45" s="7" t="str">
        <f t="shared" si="0"/>
        <v>116800150041@r6-1.deped.gov.ph</v>
      </c>
      <c r="H45" s="8" t="str">
        <f t="shared" si="2"/>
        <v>espides,302727</v>
      </c>
      <c r="I45" t="s">
        <v>14</v>
      </c>
    </row>
    <row r="46" spans="1:9" ht="12.75">
      <c r="A46" s="2">
        <v>43</v>
      </c>
      <c r="B46" s="7" t="s">
        <v>2197</v>
      </c>
      <c r="C46" s="7" t="s">
        <v>2207</v>
      </c>
      <c r="D46" s="7" t="s">
        <v>2208</v>
      </c>
      <c r="E46" s="8" t="s">
        <v>252</v>
      </c>
      <c r="F46" s="8">
        <v>117575150050</v>
      </c>
      <c r="G46" s="7" t="str">
        <f t="shared" si="0"/>
        <v>117575150050@r6-1.deped.gov.ph</v>
      </c>
      <c r="H46" s="8" t="str">
        <f t="shared" si="2"/>
        <v>lasquite,302727</v>
      </c>
      <c r="I46" t="s">
        <v>14</v>
      </c>
    </row>
    <row r="47" spans="1:9" ht="12.75">
      <c r="A47" s="2">
        <v>44</v>
      </c>
      <c r="B47" s="7" t="s">
        <v>2197</v>
      </c>
      <c r="C47" s="7" t="s">
        <v>40</v>
      </c>
      <c r="D47" s="7" t="s">
        <v>2209</v>
      </c>
      <c r="E47" s="8" t="s">
        <v>268</v>
      </c>
      <c r="F47" s="8">
        <v>117575160010</v>
      </c>
      <c r="G47" s="7" t="str">
        <f t="shared" si="0"/>
        <v>117575160010@r6-1.deped.gov.ph</v>
      </c>
      <c r="H47" s="8" t="str">
        <f t="shared" si="2"/>
        <v>magbanua,302727</v>
      </c>
      <c r="I47" t="s">
        <v>14</v>
      </c>
    </row>
    <row r="48" spans="1:9" ht="12.75">
      <c r="A48" s="2">
        <v>45</v>
      </c>
      <c r="B48" s="7" t="s">
        <v>2197</v>
      </c>
      <c r="C48" s="7" t="s">
        <v>2210</v>
      </c>
      <c r="D48" s="7" t="s">
        <v>2211</v>
      </c>
      <c r="E48" s="8" t="s">
        <v>361</v>
      </c>
      <c r="F48" s="8">
        <v>117575150008</v>
      </c>
      <c r="G48" s="7" t="str">
        <f t="shared" si="0"/>
        <v>117575150008@r6-1.deped.gov.ph</v>
      </c>
      <c r="H48" s="8" t="str">
        <f t="shared" si="2"/>
        <v>mahusay,302727</v>
      </c>
      <c r="I48" t="s">
        <v>14</v>
      </c>
    </row>
    <row r="49" spans="1:9" ht="12.75">
      <c r="A49" s="2">
        <v>46</v>
      </c>
      <c r="B49" s="7" t="s">
        <v>2197</v>
      </c>
      <c r="C49" s="7" t="s">
        <v>945</v>
      </c>
      <c r="D49" s="7" t="s">
        <v>2212</v>
      </c>
      <c r="E49" s="8" t="s">
        <v>263</v>
      </c>
      <c r="F49" s="8">
        <v>117575150009</v>
      </c>
      <c r="G49" s="7" t="str">
        <f t="shared" si="0"/>
        <v>117575150009@r6-1.deped.gov.ph</v>
      </c>
      <c r="H49" s="8" t="str">
        <f t="shared" si="2"/>
        <v>maligdong,302727</v>
      </c>
      <c r="I49" t="s">
        <v>14</v>
      </c>
    </row>
    <row r="50" spans="1:9" ht="12.75">
      <c r="A50" s="2">
        <v>47</v>
      </c>
      <c r="B50" s="7" t="s">
        <v>2197</v>
      </c>
      <c r="C50" s="7" t="s">
        <v>2213</v>
      </c>
      <c r="D50" s="7" t="s">
        <v>2214</v>
      </c>
      <c r="E50" s="8" t="s">
        <v>263</v>
      </c>
      <c r="F50" s="8">
        <v>224003150082</v>
      </c>
      <c r="G50" s="7" t="str">
        <f t="shared" si="0"/>
        <v>224003150082@r6-1.deped.gov.ph</v>
      </c>
      <c r="H50" s="8" t="str">
        <f t="shared" si="2"/>
        <v>moleño,302727</v>
      </c>
      <c r="I50" t="s">
        <v>14</v>
      </c>
    </row>
    <row r="51" spans="1:9" ht="12.75">
      <c r="A51" s="2">
        <v>48</v>
      </c>
      <c r="B51" s="7" t="s">
        <v>2197</v>
      </c>
      <c r="C51" s="7" t="s">
        <v>2215</v>
      </c>
      <c r="D51" s="7" t="s">
        <v>238</v>
      </c>
      <c r="E51" s="8" t="s">
        <v>245</v>
      </c>
      <c r="F51" s="8">
        <v>117575150033</v>
      </c>
      <c r="G51" s="7" t="str">
        <f t="shared" si="0"/>
        <v>117575150033@r6-1.deped.gov.ph</v>
      </c>
      <c r="H51" s="8" t="str">
        <f t="shared" si="2"/>
        <v>pama,302727</v>
      </c>
      <c r="I51" t="s">
        <v>14</v>
      </c>
    </row>
    <row r="52" spans="1:9" ht="12.75">
      <c r="A52" s="2">
        <v>49</v>
      </c>
      <c r="B52" s="7" t="s">
        <v>2197</v>
      </c>
      <c r="C52" s="7" t="s">
        <v>2216</v>
      </c>
      <c r="D52" s="7" t="s">
        <v>2217</v>
      </c>
      <c r="E52" s="8" t="s">
        <v>239</v>
      </c>
      <c r="F52" s="8">
        <v>223501150130</v>
      </c>
      <c r="G52" s="7" t="str">
        <f t="shared" si="0"/>
        <v>223501150130@r6-1.deped.gov.ph</v>
      </c>
      <c r="H52" s="8" t="str">
        <f t="shared" si="2"/>
        <v>patdu,302727</v>
      </c>
      <c r="I52" t="s">
        <v>14</v>
      </c>
    </row>
    <row r="53" spans="1:9" ht="12.75">
      <c r="A53" s="2">
        <v>50</v>
      </c>
      <c r="B53" s="7" t="s">
        <v>2197</v>
      </c>
      <c r="C53" s="7" t="s">
        <v>2167</v>
      </c>
      <c r="D53" s="7" t="s">
        <v>2218</v>
      </c>
      <c r="E53" s="8" t="s">
        <v>294</v>
      </c>
      <c r="F53" s="8">
        <v>117571150050</v>
      </c>
      <c r="G53" s="7" t="str">
        <f t="shared" si="0"/>
        <v>117571150050@r6-1.deped.gov.ph</v>
      </c>
      <c r="H53" s="8" t="str">
        <f t="shared" si="2"/>
        <v>perlado,302727</v>
      </c>
      <c r="I53" t="s">
        <v>14</v>
      </c>
    </row>
    <row r="54" spans="1:9" ht="12.75">
      <c r="A54" s="2">
        <v>51</v>
      </c>
      <c r="B54" s="7" t="s">
        <v>2197</v>
      </c>
      <c r="C54" s="7" t="s">
        <v>2219</v>
      </c>
      <c r="D54" s="7" t="s">
        <v>2220</v>
      </c>
      <c r="E54" s="8" t="s">
        <v>361</v>
      </c>
      <c r="F54" s="8">
        <v>117575150013</v>
      </c>
      <c r="G54" s="7" t="str">
        <f t="shared" si="0"/>
        <v>117575150013@r6-1.deped.gov.ph</v>
      </c>
      <c r="H54" s="8" t="str">
        <f t="shared" si="2"/>
        <v>sayo,302727</v>
      </c>
      <c r="I54" t="s">
        <v>14</v>
      </c>
    </row>
    <row r="55" spans="1:9" ht="12.75">
      <c r="A55" s="2">
        <v>52</v>
      </c>
      <c r="B55" s="7" t="s">
        <v>2197</v>
      </c>
      <c r="C55" s="7" t="s">
        <v>2221</v>
      </c>
      <c r="D55" s="7" t="s">
        <v>2222</v>
      </c>
      <c r="E55" s="8" t="s">
        <v>311</v>
      </c>
      <c r="F55" s="8">
        <v>136758140725</v>
      </c>
      <c r="G55" s="7" t="str">
        <f t="shared" si="0"/>
        <v>136758140725@r6-1.deped.gov.ph</v>
      </c>
      <c r="H55" s="8" t="str">
        <f t="shared" si="2"/>
        <v>selpa,302727</v>
      </c>
      <c r="I55" t="s">
        <v>14</v>
      </c>
    </row>
    <row r="56" spans="1:9" ht="12.75">
      <c r="A56" s="2">
        <v>53</v>
      </c>
      <c r="B56" s="7" t="s">
        <v>2197</v>
      </c>
      <c r="C56" s="7" t="s">
        <v>2223</v>
      </c>
      <c r="D56" s="7" t="s">
        <v>2224</v>
      </c>
      <c r="E56" s="8" t="s">
        <v>294</v>
      </c>
      <c r="F56" s="8">
        <v>117571150054</v>
      </c>
      <c r="G56" s="7" t="str">
        <f t="shared" si="0"/>
        <v>117571150054@r6-1.deped.gov.ph</v>
      </c>
      <c r="H56" s="8" t="str">
        <f t="shared" si="2"/>
        <v>alimpolos,302727</v>
      </c>
      <c r="I56" t="s">
        <v>14</v>
      </c>
    </row>
    <row r="57" spans="1:9" ht="12.75">
      <c r="A57" s="2">
        <v>54</v>
      </c>
      <c r="B57" s="7" t="s">
        <v>2197</v>
      </c>
      <c r="C57" s="7" t="s">
        <v>2225</v>
      </c>
      <c r="D57" s="7" t="s">
        <v>1840</v>
      </c>
      <c r="E57" s="8" t="s">
        <v>294</v>
      </c>
      <c r="F57" s="8">
        <v>117565150034</v>
      </c>
      <c r="G57" s="7" t="str">
        <f t="shared" si="0"/>
        <v>117565150034@r6-1.deped.gov.ph</v>
      </c>
      <c r="H57" s="8" t="str">
        <f t="shared" si="2"/>
        <v>amido,302727</v>
      </c>
      <c r="I57" t="s">
        <v>14</v>
      </c>
    </row>
    <row r="58" spans="1:9" ht="12.75">
      <c r="A58" s="2">
        <v>55</v>
      </c>
      <c r="B58" s="7" t="s">
        <v>2197</v>
      </c>
      <c r="C58" s="7" t="s">
        <v>516</v>
      </c>
      <c r="D58" s="7" t="s">
        <v>2226</v>
      </c>
      <c r="E58" s="8" t="s">
        <v>444</v>
      </c>
      <c r="F58" s="8">
        <v>117575150036</v>
      </c>
      <c r="G58" s="7" t="str">
        <f t="shared" si="0"/>
        <v>117575150036@r6-1.deped.gov.ph</v>
      </c>
      <c r="H58" s="8" t="str">
        <f t="shared" si="2"/>
        <v>apura,302727</v>
      </c>
      <c r="I58" t="s">
        <v>14</v>
      </c>
    </row>
    <row r="59" spans="1:9" ht="12.75">
      <c r="A59" s="2">
        <v>56</v>
      </c>
      <c r="B59" s="7" t="s">
        <v>2197</v>
      </c>
      <c r="C59" s="7" t="s">
        <v>473</v>
      </c>
      <c r="D59" s="7" t="s">
        <v>696</v>
      </c>
      <c r="E59" s="8" t="s">
        <v>242</v>
      </c>
      <c r="F59" s="8">
        <v>117575150014</v>
      </c>
      <c r="G59" s="7" t="str">
        <f t="shared" si="0"/>
        <v>117575150014@r6-1.deped.gov.ph</v>
      </c>
      <c r="H59" s="8" t="str">
        <f t="shared" si="2"/>
        <v>arbias,302727</v>
      </c>
      <c r="I59" t="s">
        <v>14</v>
      </c>
    </row>
    <row r="60" spans="1:9" ht="12.75">
      <c r="A60" s="2">
        <v>57</v>
      </c>
      <c r="B60" s="7" t="s">
        <v>2197</v>
      </c>
      <c r="C60" s="7" t="s">
        <v>2227</v>
      </c>
      <c r="D60" s="7" t="s">
        <v>2228</v>
      </c>
      <c r="E60" s="8" t="s">
        <v>263</v>
      </c>
      <c r="F60" s="8">
        <v>117575150015</v>
      </c>
      <c r="G60" s="7" t="str">
        <f t="shared" si="0"/>
        <v>117575150015@r6-1.deped.gov.ph</v>
      </c>
      <c r="H60" s="8" t="str">
        <f t="shared" si="2"/>
        <v>concon,302727</v>
      </c>
      <c r="I60" t="s">
        <v>14</v>
      </c>
    </row>
    <row r="61" spans="1:9" ht="12.75">
      <c r="A61" s="2">
        <v>58</v>
      </c>
      <c r="B61" s="7" t="s">
        <v>2197</v>
      </c>
      <c r="C61" s="7" t="s">
        <v>2179</v>
      </c>
      <c r="D61" s="7" t="s">
        <v>2229</v>
      </c>
      <c r="E61" s="8" t="s">
        <v>239</v>
      </c>
      <c r="F61" s="8">
        <v>117574150033</v>
      </c>
      <c r="G61" s="7" t="str">
        <f t="shared" si="0"/>
        <v>117574150033@r6-1.deped.gov.ph</v>
      </c>
      <c r="H61" s="8" t="str">
        <f t="shared" si="2"/>
        <v>danico,302727</v>
      </c>
      <c r="I61" t="s">
        <v>14</v>
      </c>
    </row>
    <row r="62" spans="1:9" ht="12.75">
      <c r="A62" s="2">
        <v>59</v>
      </c>
      <c r="B62" s="7" t="s">
        <v>2197</v>
      </c>
      <c r="C62" s="7" t="s">
        <v>584</v>
      </c>
      <c r="D62" s="7" t="s">
        <v>2230</v>
      </c>
      <c r="E62" s="8" t="s">
        <v>263</v>
      </c>
      <c r="F62" s="8">
        <v>117574150034</v>
      </c>
      <c r="G62" s="7" t="str">
        <f t="shared" si="0"/>
        <v>117574150034@r6-1.deped.gov.ph</v>
      </c>
      <c r="H62" s="8" t="str">
        <f t="shared" si="2"/>
        <v>doza,302727</v>
      </c>
      <c r="I62" t="s">
        <v>14</v>
      </c>
    </row>
    <row r="63" spans="1:9" ht="12.75">
      <c r="A63" s="2">
        <v>60</v>
      </c>
      <c r="B63" s="7" t="s">
        <v>2197</v>
      </c>
      <c r="C63" s="7" t="s">
        <v>2231</v>
      </c>
      <c r="D63" s="7" t="s">
        <v>2232</v>
      </c>
      <c r="E63" s="8" t="s">
        <v>239</v>
      </c>
      <c r="F63" s="8">
        <v>117575150057</v>
      </c>
      <c r="G63" s="7" t="str">
        <f t="shared" si="0"/>
        <v>117575150057@r6-1.deped.gov.ph</v>
      </c>
      <c r="H63" s="8" t="str">
        <f t="shared" si="2"/>
        <v>hofilena,302727</v>
      </c>
      <c r="I63" t="s">
        <v>14</v>
      </c>
    </row>
    <row r="64" spans="1:9" ht="12.75">
      <c r="A64" s="2">
        <v>61</v>
      </c>
      <c r="B64" s="7" t="s">
        <v>2197</v>
      </c>
      <c r="C64" s="7" t="s">
        <v>2233</v>
      </c>
      <c r="D64" s="7" t="s">
        <v>2234</v>
      </c>
      <c r="E64" s="8" t="s">
        <v>252</v>
      </c>
      <c r="F64" s="8">
        <v>117575150019</v>
      </c>
      <c r="G64" s="7" t="str">
        <f t="shared" si="0"/>
        <v>117575150019@r6-1.deped.gov.ph</v>
      </c>
      <c r="H64" s="8" t="str">
        <f t="shared" si="2"/>
        <v>malba,302727</v>
      </c>
      <c r="I64" t="s">
        <v>14</v>
      </c>
    </row>
    <row r="65" spans="1:9" ht="12.75">
      <c r="A65" s="2">
        <v>62</v>
      </c>
      <c r="B65" s="7" t="s">
        <v>2197</v>
      </c>
      <c r="C65" s="7" t="s">
        <v>338</v>
      </c>
      <c r="D65" s="7" t="s">
        <v>2235</v>
      </c>
      <c r="E65" s="8" t="s">
        <v>311</v>
      </c>
      <c r="F65" s="8">
        <v>117322150040</v>
      </c>
      <c r="G65" s="7" t="str">
        <f t="shared" si="0"/>
        <v>117322150040@r6-1.deped.gov.ph</v>
      </c>
      <c r="H65" s="8" t="str">
        <f t="shared" si="2"/>
        <v>malunes,302727</v>
      </c>
      <c r="I65" t="s">
        <v>46</v>
      </c>
    </row>
    <row r="66" spans="1:9" ht="12.75">
      <c r="A66" s="2">
        <v>63</v>
      </c>
      <c r="B66" s="7" t="s">
        <v>2197</v>
      </c>
      <c r="C66" s="7" t="s">
        <v>1823</v>
      </c>
      <c r="D66" s="7" t="s">
        <v>2236</v>
      </c>
      <c r="E66" s="8" t="s">
        <v>294</v>
      </c>
      <c r="F66" s="8">
        <v>117536150095</v>
      </c>
      <c r="G66" s="7" t="str">
        <f t="shared" si="0"/>
        <v>117536150095@r6-1.deped.gov.ph</v>
      </c>
      <c r="H66" s="8" t="str">
        <f t="shared" si="2"/>
        <v>ofianga,302727</v>
      </c>
      <c r="I66" t="s">
        <v>14</v>
      </c>
    </row>
    <row r="67" spans="1:9" ht="12.75">
      <c r="A67" s="2">
        <v>64</v>
      </c>
      <c r="B67" s="7" t="s">
        <v>2197</v>
      </c>
      <c r="C67" s="7" t="s">
        <v>2237</v>
      </c>
      <c r="D67" s="7" t="s">
        <v>2238</v>
      </c>
      <c r="E67" s="8" t="s">
        <v>245</v>
      </c>
      <c r="F67" s="8">
        <v>117575150075</v>
      </c>
      <c r="G67" s="7" t="str">
        <f t="shared" si="0"/>
        <v>117575150075@r6-1.deped.gov.ph</v>
      </c>
      <c r="H67" s="8" t="str">
        <f t="shared" si="2"/>
        <v>ondrado,302727</v>
      </c>
      <c r="I67" t="s">
        <v>14</v>
      </c>
    </row>
    <row r="68" spans="1:9" ht="12.75">
      <c r="A68" s="2">
        <v>65</v>
      </c>
      <c r="B68" s="7" t="s">
        <v>2197</v>
      </c>
      <c r="C68" s="7" t="s">
        <v>345</v>
      </c>
      <c r="D68" s="7" t="s">
        <v>2239</v>
      </c>
      <c r="E68" s="8" t="s">
        <v>268</v>
      </c>
      <c r="F68" s="8">
        <v>117575150068</v>
      </c>
      <c r="G68" s="7" t="str">
        <f t="shared" ref="G68:G76" si="3">IF(F68="","",F68&amp;"@r6-1.deped.gov.ph")</f>
        <v>117575150068@r6-1.deped.gov.ph</v>
      </c>
      <c r="H68" s="8" t="str">
        <f t="shared" si="2"/>
        <v>palma,302727</v>
      </c>
      <c r="I68" t="s">
        <v>14</v>
      </c>
    </row>
    <row r="69" spans="1:9" ht="12.75">
      <c r="A69" s="2">
        <v>66</v>
      </c>
      <c r="B69" s="7" t="s">
        <v>2197</v>
      </c>
      <c r="C69" s="7" t="s">
        <v>2240</v>
      </c>
      <c r="D69" s="7" t="s">
        <v>2241</v>
      </c>
      <c r="E69" s="8" t="s">
        <v>231</v>
      </c>
      <c r="F69" s="8">
        <v>117562160080</v>
      </c>
      <c r="G69" s="7" t="str">
        <f t="shared" si="3"/>
        <v>117562160080@r6-1.deped.gov.ph</v>
      </c>
      <c r="H69" s="8" t="str">
        <f t="shared" si="2"/>
        <v>paraiso,302727</v>
      </c>
      <c r="I69" t="s">
        <v>14</v>
      </c>
    </row>
    <row r="70" spans="1:9" ht="12.75">
      <c r="A70" s="2">
        <v>67</v>
      </c>
      <c r="B70" s="7" t="s">
        <v>2197</v>
      </c>
      <c r="C70" s="7" t="s">
        <v>2242</v>
      </c>
      <c r="D70" s="7" t="s">
        <v>2243</v>
      </c>
      <c r="E70" s="8" t="s">
        <v>311</v>
      </c>
      <c r="F70" s="8">
        <v>117571150062</v>
      </c>
      <c r="G70" s="7" t="str">
        <f t="shared" si="3"/>
        <v>117571150062@r6-1.deped.gov.ph</v>
      </c>
      <c r="H70" s="8" t="str">
        <f t="shared" si="2"/>
        <v>parreño,302727</v>
      </c>
      <c r="I70" t="s">
        <v>14</v>
      </c>
    </row>
    <row r="71" spans="1:9" ht="12.75">
      <c r="A71" s="2">
        <v>68</v>
      </c>
      <c r="B71" s="7" t="s">
        <v>2197</v>
      </c>
      <c r="C71" s="7" t="s">
        <v>2167</v>
      </c>
      <c r="D71" s="7" t="s">
        <v>2244</v>
      </c>
      <c r="E71" s="8" t="s">
        <v>260</v>
      </c>
      <c r="F71" s="8">
        <v>117575150021</v>
      </c>
      <c r="G71" s="7" t="str">
        <f t="shared" si="3"/>
        <v>117575150021@r6-1.deped.gov.ph</v>
      </c>
      <c r="H71" s="8" t="str">
        <f t="shared" si="2"/>
        <v>perlado,302727</v>
      </c>
      <c r="I71" t="s">
        <v>14</v>
      </c>
    </row>
    <row r="72" spans="1:9" ht="12.75">
      <c r="A72" s="2">
        <v>69</v>
      </c>
      <c r="B72" s="7" t="s">
        <v>2197</v>
      </c>
      <c r="C72" s="7" t="s">
        <v>348</v>
      </c>
      <c r="D72" s="7" t="s">
        <v>2245</v>
      </c>
      <c r="E72" s="8" t="s">
        <v>239</v>
      </c>
      <c r="F72" s="8">
        <v>117479160225</v>
      </c>
      <c r="G72" s="7" t="str">
        <f t="shared" si="3"/>
        <v>117479160225@r6-1.deped.gov.ph</v>
      </c>
      <c r="H72" s="8" t="str">
        <f t="shared" si="2"/>
        <v>salazar,302727</v>
      </c>
      <c r="I72" t="s">
        <v>14</v>
      </c>
    </row>
    <row r="73" spans="1:9" ht="12.75">
      <c r="A73" s="2">
        <v>70</v>
      </c>
      <c r="B73" s="7" t="s">
        <v>2197</v>
      </c>
      <c r="C73" s="7" t="s">
        <v>2219</v>
      </c>
      <c r="D73" s="7" t="s">
        <v>2246</v>
      </c>
      <c r="E73" s="8" t="s">
        <v>311</v>
      </c>
      <c r="F73" s="8">
        <v>117575150023</v>
      </c>
      <c r="G73" s="7" t="str">
        <f t="shared" si="3"/>
        <v>117575150023@r6-1.deped.gov.ph</v>
      </c>
      <c r="H73" s="8" t="str">
        <f t="shared" si="2"/>
        <v>sayo,302727</v>
      </c>
      <c r="I73" t="s">
        <v>14</v>
      </c>
    </row>
    <row r="74" spans="1:9" ht="12.75">
      <c r="A74" s="2">
        <v>71</v>
      </c>
      <c r="B74" s="7" t="s">
        <v>2197</v>
      </c>
      <c r="C74" s="7" t="s">
        <v>2219</v>
      </c>
      <c r="D74" s="7" t="s">
        <v>2247</v>
      </c>
      <c r="E74" s="8"/>
      <c r="F74" s="8">
        <v>117575150069</v>
      </c>
      <c r="G74" s="7" t="str">
        <f t="shared" si="3"/>
        <v>117575150069@r6-1.deped.gov.ph</v>
      </c>
      <c r="H74" s="8" t="str">
        <f t="shared" si="2"/>
        <v>sayo,302727</v>
      </c>
      <c r="I74" t="s">
        <v>14</v>
      </c>
    </row>
    <row r="75" spans="1:9" ht="12.75">
      <c r="A75" s="2">
        <v>72</v>
      </c>
      <c r="B75" s="7" t="s">
        <v>2197</v>
      </c>
      <c r="C75" s="7" t="s">
        <v>2248</v>
      </c>
      <c r="D75" s="7" t="s">
        <v>94</v>
      </c>
      <c r="E75" s="8" t="s">
        <v>311</v>
      </c>
      <c r="F75" s="8">
        <v>117575150070</v>
      </c>
      <c r="G75" s="7" t="str">
        <f t="shared" si="3"/>
        <v>117575150070@r6-1.deped.gov.ph</v>
      </c>
      <c r="H75" s="8" t="str">
        <f t="shared" si="2"/>
        <v>tejero,302727</v>
      </c>
      <c r="I75" t="s">
        <v>14</v>
      </c>
    </row>
    <row r="76" spans="1:9" ht="12.75">
      <c r="A76" s="2">
        <v>73</v>
      </c>
      <c r="B76" s="7" t="s">
        <v>2197</v>
      </c>
      <c r="C76" s="7" t="s">
        <v>2249</v>
      </c>
      <c r="D76" s="7" t="s">
        <v>2250</v>
      </c>
      <c r="E76" s="8" t="s">
        <v>231</v>
      </c>
      <c r="F76" s="8">
        <v>117575150026</v>
      </c>
      <c r="G76" s="7" t="str">
        <f t="shared" si="3"/>
        <v>117575150026@r6-1.deped.gov.ph</v>
      </c>
      <c r="H76" s="8" t="str">
        <f t="shared" si="2"/>
        <v>villaruz,302727</v>
      </c>
      <c r="I76" t="s">
        <v>14</v>
      </c>
    </row>
    <row r="77" spans="1:9" ht="12.75">
      <c r="A77" s="2">
        <v>74</v>
      </c>
      <c r="B77" s="7"/>
      <c r="C77" s="7"/>
      <c r="D77" s="7"/>
      <c r="E77" s="8"/>
      <c r="F77" s="8"/>
      <c r="G77" s="7" t="str">
        <f t="shared" ref="G77:G331" si="4">IF(F77="","",F77&amp;"@r6-1.deped.gov.ph")</f>
        <v/>
      </c>
      <c r="H77" s="8"/>
    </row>
    <row r="78" spans="1:9" ht="12.75">
      <c r="A78" s="2">
        <v>75</v>
      </c>
      <c r="B78" s="7"/>
      <c r="C78" s="7"/>
      <c r="D78" s="7"/>
      <c r="E78" s="8"/>
      <c r="F78" s="8"/>
      <c r="G78" s="7" t="str">
        <f t="shared" si="4"/>
        <v/>
      </c>
      <c r="H78" s="8"/>
    </row>
    <row r="79" spans="1:9" ht="12.75">
      <c r="A79" s="2">
        <v>76</v>
      </c>
      <c r="B79" s="7"/>
      <c r="C79" s="7"/>
      <c r="D79" s="7"/>
      <c r="E79" s="8"/>
      <c r="F79" s="8"/>
      <c r="G79" s="7" t="str">
        <f t="shared" si="4"/>
        <v/>
      </c>
      <c r="H79" s="8"/>
    </row>
    <row r="80" spans="1:9" ht="12.75">
      <c r="A80" s="2">
        <v>77</v>
      </c>
      <c r="B80" s="7"/>
      <c r="C80" s="7"/>
      <c r="D80" s="7"/>
      <c r="E80" s="8"/>
      <c r="F80" s="8"/>
      <c r="G80" s="7" t="str">
        <f t="shared" si="4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4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4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4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4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4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4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4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4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4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4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4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4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4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4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4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4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4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4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4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4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4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4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4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4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4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4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4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4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4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4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4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4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4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4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4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4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4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4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4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4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4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4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4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4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4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4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4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4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4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4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4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4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4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4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4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4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4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4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4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4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4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4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4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4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4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4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4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4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4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4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4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4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4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4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4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4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4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4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4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4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4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4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4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4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4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4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4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4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4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4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4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4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4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4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4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4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4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4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4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4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4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4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4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4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4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4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4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4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4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4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4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4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4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4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4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4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4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4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4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4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4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4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4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4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4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4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4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4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4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4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4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4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4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4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4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4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4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4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4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4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4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4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4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4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4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4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4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4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4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4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4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4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4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4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4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4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4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4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4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4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4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4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4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4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4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4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4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4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4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4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4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4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4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4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4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4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4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4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4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4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4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4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4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4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4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4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4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4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4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4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4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4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4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4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4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4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4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4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4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4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4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4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4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4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4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4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4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4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4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4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4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4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4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4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4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4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4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4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4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4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4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4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4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4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4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4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4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4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4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4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4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4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4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4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4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4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4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4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4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4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4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4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4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4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4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4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4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4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4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4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4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ref="G332:G503" si="5">IF(F332="","",F332&amp;"@r6-1.deped.gov.ph")</f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5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5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5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5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5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5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5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5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5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5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5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5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5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5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5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5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5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5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5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5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5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5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5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5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5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5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5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5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5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5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5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5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5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5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5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5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5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5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5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5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5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5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5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5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5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5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5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5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5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5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5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5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5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5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5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5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5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5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5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5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5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5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5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5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5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5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5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5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5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5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5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5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5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5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5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5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5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5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5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5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5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5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5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5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5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5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5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5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5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5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5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5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5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5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5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5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5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5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5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5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5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5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5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5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5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5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5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5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5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5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5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5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5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5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5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5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5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5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5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5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5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5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5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5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5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5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5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5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5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5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5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5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5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5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5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5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5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5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5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5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5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5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5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5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5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5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5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5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5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5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5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5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5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5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5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5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5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5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5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5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5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5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5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5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5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5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5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5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5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5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5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002"/>
  <sheetViews>
    <sheetView tabSelected="1" topLeftCell="G1" workbookViewId="0">
      <pane ySplit="3" topLeftCell="A19" activePane="bottomLeft" state="frozen"/>
      <selection pane="bottomLeft" activeCell="L31" sqref="L31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2251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 t="s">
        <v>2252</v>
      </c>
      <c r="C4" s="7" t="s">
        <v>2253</v>
      </c>
      <c r="D4" s="7" t="s">
        <v>2254</v>
      </c>
      <c r="E4" s="8" t="s">
        <v>234</v>
      </c>
      <c r="F4" s="8">
        <v>117536150002</v>
      </c>
      <c r="G4" s="7" t="str">
        <f>IF(F4="","",F4&amp;"@r6-1.deped.gov.ph")</f>
        <v>117536150002@r6-1.deped.gov.ph</v>
      </c>
      <c r="H4" s="8" t="str">
        <f t="shared" ref="H4:H67" si="0">IF(C4="","",LOWER(C4)&amp;",302733")</f>
        <v>abenia,302733</v>
      </c>
      <c r="I4" t="s">
        <v>14</v>
      </c>
    </row>
    <row r="5" spans="1:11" ht="12.75">
      <c r="A5" s="2">
        <v>2</v>
      </c>
      <c r="B5" s="7" t="s">
        <v>2252</v>
      </c>
      <c r="C5" s="7" t="s">
        <v>243</v>
      </c>
      <c r="D5" s="7" t="s">
        <v>2255</v>
      </c>
      <c r="E5" s="8" t="s">
        <v>239</v>
      </c>
      <c r="F5" s="8">
        <v>117538150014</v>
      </c>
      <c r="G5" s="7" t="str">
        <f t="shared" ref="G5:G67" si="1">IF(F5="","",F5&amp;"@r6-1.deped.gov.ph")</f>
        <v>117538150014@r6-1.deped.gov.ph</v>
      </c>
      <c r="H5" s="8" t="str">
        <f t="shared" si="0"/>
        <v>cabahug,302733</v>
      </c>
      <c r="I5" t="s">
        <v>14</v>
      </c>
    </row>
    <row r="6" spans="1:11" ht="12.75">
      <c r="A6" s="2">
        <v>3</v>
      </c>
      <c r="B6" s="7" t="s">
        <v>2252</v>
      </c>
      <c r="C6" s="7" t="s">
        <v>2256</v>
      </c>
      <c r="D6" s="7" t="s">
        <v>2257</v>
      </c>
      <c r="E6" s="8" t="s">
        <v>281</v>
      </c>
      <c r="F6" s="8">
        <v>117541150006</v>
      </c>
      <c r="G6" s="7" t="str">
        <f t="shared" si="1"/>
        <v>117541150006@r6-1.deped.gov.ph</v>
      </c>
      <c r="H6" s="8" t="str">
        <f t="shared" si="0"/>
        <v>degala,302733</v>
      </c>
      <c r="I6" t="s">
        <v>14</v>
      </c>
    </row>
    <row r="7" spans="1:11" ht="12.75">
      <c r="A7" s="2">
        <v>4</v>
      </c>
      <c r="B7" s="7" t="s">
        <v>2252</v>
      </c>
      <c r="C7" s="7" t="s">
        <v>2258</v>
      </c>
      <c r="D7" s="7" t="s">
        <v>2259</v>
      </c>
      <c r="E7" s="8" t="s">
        <v>294</v>
      </c>
      <c r="F7" s="8">
        <v>117538150020</v>
      </c>
      <c r="G7" s="7" t="str">
        <f t="shared" si="1"/>
        <v>117538150020@r6-1.deped.gov.ph</v>
      </c>
      <c r="H7" s="8" t="str">
        <f t="shared" si="0"/>
        <v>goniabo,302733</v>
      </c>
      <c r="I7" t="s">
        <v>14</v>
      </c>
    </row>
    <row r="8" spans="1:11" ht="12.75">
      <c r="A8" s="2">
        <v>5</v>
      </c>
      <c r="B8" s="7" t="s">
        <v>2252</v>
      </c>
      <c r="C8" s="7" t="s">
        <v>332</v>
      </c>
      <c r="D8" s="7" t="s">
        <v>2260</v>
      </c>
      <c r="E8" s="8" t="s">
        <v>309</v>
      </c>
      <c r="F8" s="8">
        <v>117541150055</v>
      </c>
      <c r="G8" s="7" t="str">
        <f t="shared" si="1"/>
        <v>117541150055@r6-1.deped.gov.ph</v>
      </c>
      <c r="H8" s="8" t="str">
        <f t="shared" si="0"/>
        <v>jimenez,302733</v>
      </c>
      <c r="I8" t="s">
        <v>14</v>
      </c>
    </row>
    <row r="9" spans="1:11" ht="12.75">
      <c r="A9" s="2">
        <v>6</v>
      </c>
      <c r="B9" s="7" t="s">
        <v>2252</v>
      </c>
      <c r="C9" s="7" t="s">
        <v>2261</v>
      </c>
      <c r="D9" s="7" t="s">
        <v>2262</v>
      </c>
      <c r="E9" s="8" t="s">
        <v>263</v>
      </c>
      <c r="F9" s="8">
        <v>117537150005</v>
      </c>
      <c r="G9" s="7" t="str">
        <f t="shared" si="1"/>
        <v>117537150005@r6-1.deped.gov.ph</v>
      </c>
      <c r="H9" s="8" t="str">
        <f t="shared" si="0"/>
        <v>mabug-at,302733</v>
      </c>
      <c r="I9" t="s">
        <v>14</v>
      </c>
    </row>
    <row r="10" spans="1:11" ht="12.75">
      <c r="A10" s="2">
        <v>7</v>
      </c>
      <c r="B10" s="7" t="s">
        <v>2252</v>
      </c>
      <c r="C10" s="7" t="s">
        <v>338</v>
      </c>
      <c r="D10" s="7" t="s">
        <v>2263</v>
      </c>
      <c r="E10" s="8" t="s">
        <v>231</v>
      </c>
      <c r="F10" s="8">
        <v>117541150058</v>
      </c>
      <c r="G10" s="7" t="str">
        <f t="shared" si="1"/>
        <v>117541150058@r6-1.deped.gov.ph</v>
      </c>
      <c r="H10" s="8" t="str">
        <f t="shared" si="0"/>
        <v>malunes,302733</v>
      </c>
      <c r="I10" t="s">
        <v>14</v>
      </c>
    </row>
    <row r="11" spans="1:11" ht="12.75">
      <c r="A11" s="2">
        <v>8</v>
      </c>
      <c r="B11" s="7" t="s">
        <v>2252</v>
      </c>
      <c r="C11" s="7" t="s">
        <v>2264</v>
      </c>
      <c r="D11" s="7" t="s">
        <v>2265</v>
      </c>
      <c r="E11" s="8" t="s">
        <v>311</v>
      </c>
      <c r="F11" s="8">
        <v>117536150034</v>
      </c>
      <c r="G11" s="7" t="str">
        <f t="shared" si="1"/>
        <v>117536150034@r6-1.deped.gov.ph</v>
      </c>
      <c r="H11" s="8" t="str">
        <f t="shared" si="0"/>
        <v>medel,302733</v>
      </c>
      <c r="I11" t="s">
        <v>14</v>
      </c>
    </row>
    <row r="12" spans="1:11" ht="12.75">
      <c r="A12" s="2">
        <v>9</v>
      </c>
      <c r="B12" s="7" t="s">
        <v>2252</v>
      </c>
      <c r="C12" s="7" t="s">
        <v>2266</v>
      </c>
      <c r="D12" s="7" t="s">
        <v>2267</v>
      </c>
      <c r="E12" s="8" t="s">
        <v>234</v>
      </c>
      <c r="F12" s="8">
        <v>117814150075</v>
      </c>
      <c r="G12" s="7" t="str">
        <f t="shared" si="1"/>
        <v>117814150075@r6-1.deped.gov.ph</v>
      </c>
      <c r="H12" s="8" t="str">
        <f t="shared" si="0"/>
        <v>tenebroso,302733</v>
      </c>
      <c r="I12" t="s">
        <v>14</v>
      </c>
    </row>
    <row r="13" spans="1:11" ht="12.75">
      <c r="A13" s="2">
        <v>10</v>
      </c>
      <c r="B13" s="7" t="s">
        <v>2252</v>
      </c>
      <c r="C13" s="7" t="s">
        <v>2268</v>
      </c>
      <c r="D13" s="7" t="s">
        <v>2269</v>
      </c>
      <c r="E13" s="8" t="s">
        <v>294</v>
      </c>
      <c r="F13" s="8">
        <v>117541150065</v>
      </c>
      <c r="G13" s="7" t="str">
        <f t="shared" si="1"/>
        <v>117541150065@r6-1.deped.gov.ph</v>
      </c>
      <c r="H13" s="8" t="str">
        <f t="shared" si="0"/>
        <v>bacharo,302733</v>
      </c>
      <c r="I13" t="s">
        <v>14</v>
      </c>
    </row>
    <row r="14" spans="1:11" ht="12.75">
      <c r="A14" s="2">
        <v>11</v>
      </c>
      <c r="B14" s="7" t="s">
        <v>2252</v>
      </c>
      <c r="C14" s="7" t="s">
        <v>2270</v>
      </c>
      <c r="D14" s="7" t="s">
        <v>2271</v>
      </c>
      <c r="E14" s="8" t="s">
        <v>1708</v>
      </c>
      <c r="F14" s="8">
        <v>117537150030</v>
      </c>
      <c r="G14" s="7" t="str">
        <f t="shared" si="1"/>
        <v>117537150030@r6-1.deped.gov.ph</v>
      </c>
      <c r="H14" s="8" t="str">
        <f t="shared" si="0"/>
        <v>batayen,302733</v>
      </c>
      <c r="I14" t="s">
        <v>14</v>
      </c>
    </row>
    <row r="15" spans="1:11" ht="12.75">
      <c r="A15" s="2">
        <v>12</v>
      </c>
      <c r="B15" s="7" t="s">
        <v>2252</v>
      </c>
      <c r="C15" s="7" t="s">
        <v>2272</v>
      </c>
      <c r="D15" s="7" t="s">
        <v>2273</v>
      </c>
      <c r="E15" s="8" t="s">
        <v>268</v>
      </c>
      <c r="F15" s="8">
        <v>117537150037</v>
      </c>
      <c r="G15" s="7" t="str">
        <f t="shared" si="1"/>
        <v>117537150037@r6-1.deped.gov.ph</v>
      </c>
      <c r="H15" s="8" t="str">
        <f t="shared" si="0"/>
        <v>batulac,302733</v>
      </c>
      <c r="I15" t="s">
        <v>14</v>
      </c>
    </row>
    <row r="16" spans="1:11" ht="12.75">
      <c r="A16" s="2">
        <v>13</v>
      </c>
      <c r="B16" s="7" t="s">
        <v>2252</v>
      </c>
      <c r="C16" s="7" t="s">
        <v>2274</v>
      </c>
      <c r="D16" s="7" t="s">
        <v>2275</v>
      </c>
      <c r="E16" s="8" t="s">
        <v>245</v>
      </c>
      <c r="F16" s="8">
        <v>117541150048</v>
      </c>
      <c r="G16" s="7" t="str">
        <f t="shared" si="1"/>
        <v>117541150048@r6-1.deped.gov.ph</v>
      </c>
      <c r="H16" s="8" t="str">
        <f t="shared" si="0"/>
        <v>batusbatusan,302733</v>
      </c>
      <c r="I16" t="s">
        <v>14</v>
      </c>
    </row>
    <row r="17" spans="1:9" ht="12.75">
      <c r="A17" s="2">
        <v>14</v>
      </c>
      <c r="B17" s="7" t="s">
        <v>2252</v>
      </c>
      <c r="C17" s="7" t="s">
        <v>243</v>
      </c>
      <c r="D17" s="7" t="s">
        <v>2276</v>
      </c>
      <c r="E17" s="8" t="s">
        <v>255</v>
      </c>
      <c r="F17" s="8">
        <v>117537150032</v>
      </c>
      <c r="G17" s="7" t="str">
        <f t="shared" si="1"/>
        <v>117537150032@r6-1.deped.gov.ph</v>
      </c>
      <c r="H17" s="8" t="str">
        <f t="shared" si="0"/>
        <v>cabahug,302733</v>
      </c>
      <c r="I17" t="s">
        <v>14</v>
      </c>
    </row>
    <row r="18" spans="1:9" ht="12.75">
      <c r="A18" s="2">
        <v>15</v>
      </c>
      <c r="B18" s="7" t="s">
        <v>2252</v>
      </c>
      <c r="C18" s="7" t="s">
        <v>2277</v>
      </c>
      <c r="D18" s="7" t="s">
        <v>2278</v>
      </c>
      <c r="E18" s="8" t="s">
        <v>294</v>
      </c>
      <c r="F18" s="8">
        <v>117718150054</v>
      </c>
      <c r="G18" s="7" t="str">
        <f t="shared" si="1"/>
        <v>117718150054@r6-1.deped.gov.ph</v>
      </c>
      <c r="H18" s="8" t="str">
        <f t="shared" si="0"/>
        <v>cabaluna,302733</v>
      </c>
      <c r="I18" t="s">
        <v>14</v>
      </c>
    </row>
    <row r="19" spans="1:9" ht="12.75">
      <c r="A19" s="2">
        <v>16</v>
      </c>
      <c r="B19" s="7" t="s">
        <v>2252</v>
      </c>
      <c r="C19" s="7" t="s">
        <v>2279</v>
      </c>
      <c r="D19" s="7" t="s">
        <v>2280</v>
      </c>
      <c r="E19" s="8" t="s">
        <v>268</v>
      </c>
      <c r="F19" s="8">
        <v>117537140019</v>
      </c>
      <c r="G19" s="7" t="str">
        <f t="shared" si="1"/>
        <v>117537140019@r6-1.deped.gov.ph</v>
      </c>
      <c r="H19" s="8" t="str">
        <f t="shared" si="0"/>
        <v>calpes,302733</v>
      </c>
      <c r="I19" t="s">
        <v>14</v>
      </c>
    </row>
    <row r="20" spans="1:9" ht="12.75">
      <c r="A20" s="2">
        <v>17</v>
      </c>
      <c r="B20" s="7" t="s">
        <v>2252</v>
      </c>
      <c r="C20" s="7" t="s">
        <v>2281</v>
      </c>
      <c r="D20" s="7" t="s">
        <v>2282</v>
      </c>
      <c r="E20" s="8" t="s">
        <v>268</v>
      </c>
      <c r="F20" s="8">
        <v>117718150076</v>
      </c>
      <c r="G20" s="7" t="str">
        <f t="shared" si="1"/>
        <v>117718150076@r6-1.deped.gov.ph</v>
      </c>
      <c r="H20" s="8" t="str">
        <f t="shared" si="0"/>
        <v>cueva,302733</v>
      </c>
      <c r="I20" t="s">
        <v>14</v>
      </c>
    </row>
    <row r="21" spans="1:9" ht="12.75">
      <c r="A21" s="2">
        <v>18</v>
      </c>
      <c r="B21" s="7" t="s">
        <v>2252</v>
      </c>
      <c r="C21" s="7" t="s">
        <v>2283</v>
      </c>
      <c r="D21" s="7" t="s">
        <v>2284</v>
      </c>
      <c r="E21" s="8" t="s">
        <v>268</v>
      </c>
      <c r="F21" s="8">
        <v>117541150087</v>
      </c>
      <c r="G21" s="7" t="str">
        <f t="shared" si="1"/>
        <v>117541150087@r6-1.deped.gov.ph</v>
      </c>
      <c r="H21" s="8" t="str">
        <f t="shared" si="0"/>
        <v>destura,302733</v>
      </c>
      <c r="I21" t="s">
        <v>14</v>
      </c>
    </row>
    <row r="22" spans="1:9" ht="12.75">
      <c r="A22" s="2">
        <v>19</v>
      </c>
      <c r="B22" s="7" t="s">
        <v>2252</v>
      </c>
      <c r="C22" s="7" t="s">
        <v>2285</v>
      </c>
      <c r="D22" s="7" t="s">
        <v>2286</v>
      </c>
      <c r="E22" s="8" t="s">
        <v>268</v>
      </c>
      <c r="F22" s="8">
        <v>117561150184</v>
      </c>
      <c r="G22" s="7" t="str">
        <f t="shared" si="1"/>
        <v>117561150184@r6-1.deped.gov.ph</v>
      </c>
      <c r="H22" s="8" t="str">
        <f t="shared" si="0"/>
        <v>ilustrisimo,302733</v>
      </c>
      <c r="I22" t="s">
        <v>14</v>
      </c>
    </row>
    <row r="23" spans="1:9" ht="12.75">
      <c r="A23" s="2">
        <v>20</v>
      </c>
      <c r="B23" s="7" t="s">
        <v>2252</v>
      </c>
      <c r="C23" s="7" t="s">
        <v>1272</v>
      </c>
      <c r="D23" s="7" t="s">
        <v>816</v>
      </c>
      <c r="E23" s="8" t="s">
        <v>239</v>
      </c>
      <c r="F23" s="8">
        <v>117537150036</v>
      </c>
      <c r="G23" s="7" t="str">
        <f t="shared" si="1"/>
        <v>117537150036@r6-1.deped.gov.ph</v>
      </c>
      <c r="H23" s="8" t="str">
        <f t="shared" si="0"/>
        <v>juanico,302733</v>
      </c>
      <c r="I23" t="s">
        <v>14</v>
      </c>
    </row>
    <row r="24" spans="1:9" ht="12.75">
      <c r="A24" s="2">
        <v>21</v>
      </c>
      <c r="B24" s="7" t="s">
        <v>2252</v>
      </c>
      <c r="C24" s="7" t="s">
        <v>208</v>
      </c>
      <c r="D24" s="7" t="s">
        <v>621</v>
      </c>
      <c r="E24" s="8" t="s">
        <v>320</v>
      </c>
      <c r="F24" s="8">
        <v>136838150109</v>
      </c>
      <c r="G24" s="7" t="str">
        <f t="shared" si="1"/>
        <v>136838150109@r6-1.deped.gov.ph</v>
      </c>
      <c r="H24" s="8" t="str">
        <f t="shared" si="0"/>
        <v>jumawan,302733</v>
      </c>
      <c r="I24" t="s">
        <v>14</v>
      </c>
    </row>
    <row r="25" spans="1:9" ht="12.75">
      <c r="A25" s="2">
        <v>22</v>
      </c>
      <c r="B25" s="7" t="s">
        <v>2252</v>
      </c>
      <c r="C25" s="7" t="s">
        <v>2287</v>
      </c>
      <c r="D25" s="7" t="s">
        <v>647</v>
      </c>
      <c r="E25" s="8" t="s">
        <v>231</v>
      </c>
      <c r="F25" s="8">
        <v>117541150085</v>
      </c>
      <c r="G25" s="7" t="str">
        <f t="shared" si="1"/>
        <v>117541150085@r6-1.deped.gov.ph</v>
      </c>
      <c r="H25" s="8" t="str">
        <f t="shared" si="0"/>
        <v>leal,302733</v>
      </c>
      <c r="I25" t="s">
        <v>14</v>
      </c>
    </row>
    <row r="26" spans="1:9" ht="12.75">
      <c r="A26" s="2">
        <v>23</v>
      </c>
      <c r="B26" s="7" t="s">
        <v>2252</v>
      </c>
      <c r="C26" s="7" t="s">
        <v>2288</v>
      </c>
      <c r="D26" s="7" t="s">
        <v>2289</v>
      </c>
      <c r="E26" s="8" t="s">
        <v>263</v>
      </c>
      <c r="F26" s="8">
        <v>442006150027</v>
      </c>
      <c r="G26" s="7" t="str">
        <f t="shared" si="1"/>
        <v>442006150027@r6-1.deped.gov.ph</v>
      </c>
      <c r="H26" s="8" t="str">
        <f t="shared" si="0"/>
        <v>lumacang,302733</v>
      </c>
      <c r="I26" t="s">
        <v>14</v>
      </c>
    </row>
    <row r="27" spans="1:9" ht="12.75">
      <c r="A27" s="2">
        <v>24</v>
      </c>
      <c r="B27" s="7" t="s">
        <v>2252</v>
      </c>
      <c r="C27" s="7" t="s">
        <v>2261</v>
      </c>
      <c r="D27" s="7" t="s">
        <v>1894</v>
      </c>
      <c r="E27" s="8" t="s">
        <v>245</v>
      </c>
      <c r="F27" s="8">
        <v>404135150057</v>
      </c>
      <c r="G27" s="7" t="str">
        <f t="shared" si="1"/>
        <v>404135150057@r6-1.deped.gov.ph</v>
      </c>
      <c r="H27" s="8" t="str">
        <f t="shared" si="0"/>
        <v>mabug-at,302733</v>
      </c>
      <c r="I27" t="s">
        <v>14</v>
      </c>
    </row>
    <row r="28" spans="1:9" ht="12.75">
      <c r="A28" s="2">
        <v>25</v>
      </c>
      <c r="B28" s="7" t="s">
        <v>2252</v>
      </c>
      <c r="C28" s="7" t="s">
        <v>2290</v>
      </c>
      <c r="D28" s="7" t="s">
        <v>2291</v>
      </c>
      <c r="E28" s="8" t="s">
        <v>257</v>
      </c>
      <c r="F28" s="8">
        <v>117541150099</v>
      </c>
      <c r="G28" s="7" t="str">
        <f t="shared" si="1"/>
        <v>117541150099@r6-1.deped.gov.ph</v>
      </c>
      <c r="H28" s="8" t="str">
        <f t="shared" si="0"/>
        <v>martus,302733</v>
      </c>
      <c r="I28" t="s">
        <v>14</v>
      </c>
    </row>
    <row r="29" spans="1:9" ht="12.75">
      <c r="A29" s="2">
        <v>26</v>
      </c>
      <c r="B29" s="7" t="s">
        <v>2252</v>
      </c>
      <c r="C29" s="7" t="s">
        <v>2037</v>
      </c>
      <c r="D29" s="7" t="s">
        <v>2292</v>
      </c>
      <c r="E29" s="8" t="s">
        <v>268</v>
      </c>
      <c r="F29" s="8">
        <v>117538150039</v>
      </c>
      <c r="G29" s="7" t="str">
        <f t="shared" si="1"/>
        <v>117538150039@r6-1.deped.gov.ph</v>
      </c>
      <c r="H29" s="8" t="str">
        <f t="shared" si="0"/>
        <v>pabuaya,302733</v>
      </c>
      <c r="I29" t="s">
        <v>14</v>
      </c>
    </row>
    <row r="30" spans="1:9" ht="12.75">
      <c r="A30" s="2">
        <v>27</v>
      </c>
      <c r="B30" s="7" t="s">
        <v>2252</v>
      </c>
      <c r="C30" s="7" t="s">
        <v>2293</v>
      </c>
      <c r="D30" s="7" t="s">
        <v>2294</v>
      </c>
      <c r="E30" s="8" t="s">
        <v>239</v>
      </c>
      <c r="F30" s="8">
        <v>117718150058</v>
      </c>
      <c r="G30" s="7" t="str">
        <f t="shared" si="1"/>
        <v>117718150058@r6-1.deped.gov.ph</v>
      </c>
      <c r="H30" s="8" t="str">
        <f t="shared" si="0"/>
        <v>palit,302733</v>
      </c>
      <c r="I30" t="s">
        <v>14</v>
      </c>
    </row>
    <row r="31" spans="1:9" ht="12.75">
      <c r="A31" s="2">
        <v>28</v>
      </c>
      <c r="B31" s="7" t="s">
        <v>2252</v>
      </c>
      <c r="C31" s="7" t="s">
        <v>2295</v>
      </c>
      <c r="D31" s="7" t="s">
        <v>2296</v>
      </c>
      <c r="E31" s="8" t="s">
        <v>268</v>
      </c>
      <c r="F31" s="8">
        <v>117541150071</v>
      </c>
      <c r="G31" s="7" t="str">
        <f t="shared" si="1"/>
        <v>117541150071@r6-1.deped.gov.ph</v>
      </c>
      <c r="H31" s="8" t="str">
        <f t="shared" si="0"/>
        <v>revamonte,302733</v>
      </c>
      <c r="I31" t="s">
        <v>14</v>
      </c>
    </row>
    <row r="32" spans="1:9" ht="12.75">
      <c r="A32" s="2">
        <v>29</v>
      </c>
      <c r="B32" s="7" t="s">
        <v>2252</v>
      </c>
      <c r="C32" s="7" t="s">
        <v>2266</v>
      </c>
      <c r="D32" s="7" t="s">
        <v>2297</v>
      </c>
      <c r="E32" s="8" t="s">
        <v>239</v>
      </c>
      <c r="F32" s="8">
        <v>126097160251</v>
      </c>
      <c r="G32" s="7" t="str">
        <f t="shared" si="1"/>
        <v>126097160251@r6-1.deped.gov.ph</v>
      </c>
      <c r="H32" s="8" t="str">
        <f t="shared" si="0"/>
        <v>tenebroso,302733</v>
      </c>
      <c r="I32" t="s">
        <v>14</v>
      </c>
    </row>
    <row r="33" spans="1:9" ht="12.75">
      <c r="A33" s="2">
        <v>30</v>
      </c>
      <c r="B33" s="7" t="s">
        <v>2252</v>
      </c>
      <c r="C33" s="7" t="s">
        <v>91</v>
      </c>
      <c r="D33" s="7" t="s">
        <v>1405</v>
      </c>
      <c r="E33" s="8" t="s">
        <v>294</v>
      </c>
      <c r="F33" s="8">
        <v>117538150043</v>
      </c>
      <c r="G33" s="7" t="str">
        <f t="shared" si="1"/>
        <v>117538150043@r6-1.deped.gov.ph</v>
      </c>
      <c r="H33" s="8" t="str">
        <f t="shared" si="0"/>
        <v>valencia,302733</v>
      </c>
      <c r="I33" t="s">
        <v>14</v>
      </c>
    </row>
    <row r="34" spans="1:9" ht="12.75">
      <c r="A34" s="2">
        <v>31</v>
      </c>
      <c r="B34" s="7" t="s">
        <v>2252</v>
      </c>
      <c r="C34" s="7" t="s">
        <v>2298</v>
      </c>
      <c r="D34" s="7" t="s">
        <v>2299</v>
      </c>
      <c r="E34" s="8" t="s">
        <v>255</v>
      </c>
      <c r="F34" s="8">
        <v>117538150044</v>
      </c>
      <c r="G34" s="7" t="str">
        <f t="shared" si="1"/>
        <v>117538150044@r6-1.deped.gov.ph</v>
      </c>
      <c r="H34" s="8" t="str">
        <f t="shared" si="0"/>
        <v>vargas,302733</v>
      </c>
      <c r="I34" t="s">
        <v>14</v>
      </c>
    </row>
    <row r="35" spans="1:9" ht="12.75">
      <c r="A35" s="2">
        <v>32</v>
      </c>
      <c r="B35" s="7" t="s">
        <v>2252</v>
      </c>
      <c r="C35" s="7" t="s">
        <v>601</v>
      </c>
      <c r="D35" s="7" t="s">
        <v>2300</v>
      </c>
      <c r="E35" s="8" t="s">
        <v>252</v>
      </c>
      <c r="F35" s="8">
        <v>117718150068</v>
      </c>
      <c r="G35" s="7" t="str">
        <f t="shared" si="1"/>
        <v>117718150068@r6-1.deped.gov.ph</v>
      </c>
      <c r="H35" s="8" t="str">
        <f t="shared" si="0"/>
        <v>vidal,302733</v>
      </c>
      <c r="I35" t="s">
        <v>14</v>
      </c>
    </row>
    <row r="36" spans="1:9" ht="12.75">
      <c r="A36" s="2">
        <v>33</v>
      </c>
      <c r="B36" s="7" t="s">
        <v>2301</v>
      </c>
      <c r="C36" s="7" t="s">
        <v>2076</v>
      </c>
      <c r="D36" s="7" t="s">
        <v>2302</v>
      </c>
      <c r="E36" s="8" t="s">
        <v>320</v>
      </c>
      <c r="F36" s="8">
        <v>117536150049</v>
      </c>
      <c r="G36" s="7" t="str">
        <f t="shared" si="1"/>
        <v>117536150049@r6-1.deped.gov.ph</v>
      </c>
      <c r="H36" s="8" t="str">
        <f t="shared" si="0"/>
        <v>aloba,302733</v>
      </c>
      <c r="I36" t="s">
        <v>46</v>
      </c>
    </row>
    <row r="37" spans="1:9" ht="12.75">
      <c r="A37" s="2">
        <v>34</v>
      </c>
      <c r="B37" s="7" t="s">
        <v>2301</v>
      </c>
      <c r="C37" s="7" t="s">
        <v>2119</v>
      </c>
      <c r="D37" s="7" t="s">
        <v>173</v>
      </c>
      <c r="E37" s="8" t="s">
        <v>242</v>
      </c>
      <c r="F37" s="8">
        <v>117541150002</v>
      </c>
      <c r="G37" s="7" t="str">
        <f t="shared" si="1"/>
        <v>117541150002@r6-1.deped.gov.ph</v>
      </c>
      <c r="H37" s="8" t="str">
        <f t="shared" si="0"/>
        <v>alolon,302733</v>
      </c>
      <c r="I37" t="s">
        <v>14</v>
      </c>
    </row>
    <row r="38" spans="1:9" ht="12.75">
      <c r="A38" s="2">
        <v>35</v>
      </c>
      <c r="B38" s="7" t="s">
        <v>2301</v>
      </c>
      <c r="C38" s="7" t="s">
        <v>2270</v>
      </c>
      <c r="D38" s="7" t="s">
        <v>2303</v>
      </c>
      <c r="E38" s="8" t="s">
        <v>252</v>
      </c>
      <c r="F38" s="8">
        <v>117718150004</v>
      </c>
      <c r="G38" s="7" t="str">
        <f t="shared" si="1"/>
        <v>117718150004@r6-1.deped.gov.ph</v>
      </c>
      <c r="H38" s="8" t="str">
        <f t="shared" si="0"/>
        <v>batayen,302733</v>
      </c>
      <c r="I38" t="s">
        <v>46</v>
      </c>
    </row>
    <row r="39" spans="1:9" ht="12.75">
      <c r="A39" s="2">
        <v>36</v>
      </c>
      <c r="B39" s="7" t="s">
        <v>2301</v>
      </c>
      <c r="C39" s="7" t="s">
        <v>2107</v>
      </c>
      <c r="D39" s="7" t="s">
        <v>2304</v>
      </c>
      <c r="E39" s="8" t="s">
        <v>309</v>
      </c>
      <c r="F39" s="8">
        <v>117541150039</v>
      </c>
      <c r="G39" s="7" t="str">
        <f t="shared" si="1"/>
        <v>117541150039@r6-1.deped.gov.ph</v>
      </c>
      <c r="H39" s="8" t="str">
        <f t="shared" si="0"/>
        <v>bornales,302733</v>
      </c>
      <c r="I39" t="s">
        <v>14</v>
      </c>
    </row>
    <row r="40" spans="1:9" ht="12.75">
      <c r="A40" s="2">
        <v>37</v>
      </c>
      <c r="B40" s="7" t="s">
        <v>2301</v>
      </c>
      <c r="C40" s="7" t="s">
        <v>2305</v>
      </c>
      <c r="D40" s="7" t="s">
        <v>505</v>
      </c>
      <c r="E40" s="8" t="s">
        <v>245</v>
      </c>
      <c r="F40" s="8">
        <v>117541150078</v>
      </c>
      <c r="G40" s="7" t="str">
        <f t="shared" si="1"/>
        <v>117541150078@r6-1.deped.gov.ph</v>
      </c>
      <c r="H40" s="8" t="str">
        <f t="shared" si="0"/>
        <v>caberoy,302733</v>
      </c>
      <c r="I40" t="s">
        <v>14</v>
      </c>
    </row>
    <row r="41" spans="1:9" ht="12.75">
      <c r="A41" s="2">
        <v>38</v>
      </c>
      <c r="B41" s="7" t="s">
        <v>2301</v>
      </c>
      <c r="C41" s="7" t="s">
        <v>2306</v>
      </c>
      <c r="D41" s="7" t="s">
        <v>2307</v>
      </c>
      <c r="E41" s="8" t="s">
        <v>234</v>
      </c>
      <c r="F41" s="8">
        <v>117541150003</v>
      </c>
      <c r="G41" s="7" t="str">
        <f t="shared" si="1"/>
        <v>117541150003@r6-1.deped.gov.ph</v>
      </c>
      <c r="H41" s="8" t="str">
        <f t="shared" si="0"/>
        <v>castroverde,302733</v>
      </c>
      <c r="I41" t="s">
        <v>14</v>
      </c>
    </row>
    <row r="42" spans="1:9" ht="12.75">
      <c r="A42" s="2">
        <v>39</v>
      </c>
      <c r="B42" s="7" t="s">
        <v>2301</v>
      </c>
      <c r="C42" s="7" t="s">
        <v>2308</v>
      </c>
      <c r="D42" s="7" t="s">
        <v>940</v>
      </c>
      <c r="E42" s="8" t="s">
        <v>309</v>
      </c>
      <c r="F42" s="8">
        <v>117541150052</v>
      </c>
      <c r="G42" s="7" t="str">
        <f t="shared" si="1"/>
        <v>117541150052@r6-1.deped.gov.ph</v>
      </c>
      <c r="H42" s="8" t="str">
        <f t="shared" si="0"/>
        <v>chua,302733</v>
      </c>
      <c r="I42" t="s">
        <v>14</v>
      </c>
    </row>
    <row r="43" spans="1:9" ht="12.75">
      <c r="A43" s="2">
        <v>40</v>
      </c>
      <c r="B43" s="7" t="s">
        <v>2301</v>
      </c>
      <c r="C43" s="7" t="s">
        <v>2309</v>
      </c>
      <c r="D43" s="7" t="s">
        <v>1423</v>
      </c>
      <c r="E43" s="8" t="s">
        <v>309</v>
      </c>
      <c r="F43" s="8">
        <v>117535150003</v>
      </c>
      <c r="G43" s="7" t="str">
        <f t="shared" si="1"/>
        <v>117535150003@r6-1.deped.gov.ph</v>
      </c>
      <c r="H43" s="8" t="str">
        <f t="shared" si="0"/>
        <v>comahig,302733</v>
      </c>
      <c r="I43" t="s">
        <v>14</v>
      </c>
    </row>
    <row r="44" spans="1:9" ht="12.75">
      <c r="A44" s="2">
        <v>41</v>
      </c>
      <c r="B44" s="7" t="s">
        <v>2301</v>
      </c>
      <c r="C44" s="7" t="s">
        <v>2310</v>
      </c>
      <c r="D44" s="7" t="s">
        <v>2311</v>
      </c>
      <c r="E44" s="8" t="s">
        <v>252</v>
      </c>
      <c r="F44" s="8">
        <v>117541150012</v>
      </c>
      <c r="G44" s="7" t="str">
        <f t="shared" si="1"/>
        <v>117541150012@r6-1.deped.gov.ph</v>
      </c>
      <c r="H44" s="8" t="str">
        <f t="shared" si="0"/>
        <v>demafeliz,302733</v>
      </c>
      <c r="I44" t="s">
        <v>14</v>
      </c>
    </row>
    <row r="45" spans="1:9" ht="12.75">
      <c r="A45" s="2">
        <v>42</v>
      </c>
      <c r="B45" s="7" t="s">
        <v>2301</v>
      </c>
      <c r="C45" s="7" t="s">
        <v>2312</v>
      </c>
      <c r="D45" s="7" t="s">
        <v>2313</v>
      </c>
      <c r="E45" s="8" t="s">
        <v>252</v>
      </c>
      <c r="F45" s="8">
        <v>125496150008</v>
      </c>
      <c r="G45" s="7" t="str">
        <f t="shared" si="1"/>
        <v>125496150008@r6-1.deped.gov.ph</v>
      </c>
      <c r="H45" s="8" t="str">
        <f t="shared" si="0"/>
        <v>gacutan,302733</v>
      </c>
      <c r="I45" t="s">
        <v>14</v>
      </c>
    </row>
    <row r="46" spans="1:9" ht="12.75">
      <c r="A46" s="2">
        <v>43</v>
      </c>
      <c r="B46" s="7" t="s">
        <v>2301</v>
      </c>
      <c r="C46" s="7" t="s">
        <v>2314</v>
      </c>
      <c r="D46" s="7" t="s">
        <v>2315</v>
      </c>
      <c r="E46" s="8" t="s">
        <v>263</v>
      </c>
      <c r="F46" s="8">
        <v>117538140010</v>
      </c>
      <c r="G46" s="7" t="str">
        <f t="shared" si="1"/>
        <v>117538140010@r6-1.deped.gov.ph</v>
      </c>
      <c r="H46" s="8" t="str">
        <f t="shared" si="0"/>
        <v>jimena,302733</v>
      </c>
      <c r="I46" t="s">
        <v>14</v>
      </c>
    </row>
    <row r="47" spans="1:9" ht="12.75">
      <c r="A47" s="2">
        <v>44</v>
      </c>
      <c r="B47" s="7" t="s">
        <v>2301</v>
      </c>
      <c r="C47" s="7" t="s">
        <v>2316</v>
      </c>
      <c r="D47" s="7" t="s">
        <v>2317</v>
      </c>
      <c r="E47" s="8" t="s">
        <v>281</v>
      </c>
      <c r="F47" s="8">
        <v>117536150013</v>
      </c>
      <c r="G47" s="7" t="str">
        <f t="shared" si="1"/>
        <v>117536150013@r6-1.deped.gov.ph</v>
      </c>
      <c r="H47" s="8" t="str">
        <f t="shared" si="0"/>
        <v>labonete,302733</v>
      </c>
      <c r="I47" t="s">
        <v>14</v>
      </c>
    </row>
    <row r="48" spans="1:9" ht="12.75">
      <c r="A48" s="2">
        <v>45</v>
      </c>
      <c r="B48" s="7" t="s">
        <v>2301</v>
      </c>
      <c r="C48" s="7" t="s">
        <v>2318</v>
      </c>
      <c r="D48" s="7" t="s">
        <v>2319</v>
      </c>
      <c r="E48" s="8" t="s">
        <v>268</v>
      </c>
      <c r="F48" s="8">
        <v>117541150075</v>
      </c>
      <c r="G48" s="7" t="str">
        <f t="shared" si="1"/>
        <v>117541150075@r6-1.deped.gov.ph</v>
      </c>
      <c r="H48" s="8" t="str">
        <f t="shared" si="0"/>
        <v>layague,302733</v>
      </c>
      <c r="I48" t="s">
        <v>14</v>
      </c>
    </row>
    <row r="49" spans="1:9" ht="12.75">
      <c r="A49" s="2">
        <v>46</v>
      </c>
      <c r="B49" s="7" t="s">
        <v>2301</v>
      </c>
      <c r="C49" s="7" t="s">
        <v>2320</v>
      </c>
      <c r="D49" s="7" t="s">
        <v>2321</v>
      </c>
      <c r="E49" s="8" t="s">
        <v>252</v>
      </c>
      <c r="F49" s="8">
        <v>117537150008</v>
      </c>
      <c r="G49" s="7" t="str">
        <f t="shared" si="1"/>
        <v>117537150008@r6-1.deped.gov.ph</v>
      </c>
      <c r="H49" s="8" t="str">
        <f t="shared" si="0"/>
        <v>pabu-aya,302733</v>
      </c>
      <c r="I49" t="s">
        <v>14</v>
      </c>
    </row>
    <row r="50" spans="1:9" ht="12.75">
      <c r="A50" s="2">
        <v>47</v>
      </c>
      <c r="B50" s="7" t="s">
        <v>2301</v>
      </c>
      <c r="C50" s="7" t="s">
        <v>1740</v>
      </c>
      <c r="D50" s="7" t="s">
        <v>2322</v>
      </c>
      <c r="E50" s="8" t="s">
        <v>245</v>
      </c>
      <c r="F50" s="8">
        <v>117541150061</v>
      </c>
      <c r="G50" s="7" t="str">
        <f t="shared" si="1"/>
        <v>117541150061@r6-1.deped.gov.ph</v>
      </c>
      <c r="H50" s="8" t="str">
        <f t="shared" si="0"/>
        <v>prudente,302733</v>
      </c>
      <c r="I50" t="s">
        <v>14</v>
      </c>
    </row>
    <row r="51" spans="1:9" ht="12.75">
      <c r="A51" s="2">
        <v>48</v>
      </c>
      <c r="B51" s="7" t="s">
        <v>2301</v>
      </c>
      <c r="C51" s="7" t="s">
        <v>349</v>
      </c>
      <c r="D51" s="7" t="s">
        <v>640</v>
      </c>
      <c r="E51" s="8" t="s">
        <v>294</v>
      </c>
      <c r="F51" s="8">
        <v>117541150111</v>
      </c>
      <c r="G51" s="7" t="str">
        <f t="shared" si="1"/>
        <v>117541150111@r6-1.deped.gov.ph</v>
      </c>
      <c r="H51" s="8" t="str">
        <f t="shared" si="0"/>
        <v>santillan,302733</v>
      </c>
      <c r="I51" t="s">
        <v>14</v>
      </c>
    </row>
    <row r="52" spans="1:9" ht="12.75">
      <c r="A52" s="2">
        <v>49</v>
      </c>
      <c r="B52" s="7" t="s">
        <v>2301</v>
      </c>
      <c r="C52" s="7" t="s">
        <v>2323</v>
      </c>
      <c r="D52" s="7" t="s">
        <v>879</v>
      </c>
      <c r="E52" s="8" t="s">
        <v>245</v>
      </c>
      <c r="F52" s="8">
        <v>117541140024</v>
      </c>
      <c r="G52" s="7" t="str">
        <f t="shared" si="1"/>
        <v>117541140024@r6-1.deped.gov.ph</v>
      </c>
      <c r="H52" s="8" t="str">
        <f t="shared" si="0"/>
        <v>sarsuelo,302733</v>
      </c>
      <c r="I52" t="s">
        <v>14</v>
      </c>
    </row>
    <row r="53" spans="1:9" ht="12.75">
      <c r="A53" s="2">
        <v>50</v>
      </c>
      <c r="B53" s="7" t="s">
        <v>2301</v>
      </c>
      <c r="C53" s="7" t="s">
        <v>2324</v>
      </c>
      <c r="D53" s="7" t="s">
        <v>2325</v>
      </c>
      <c r="E53" s="8" t="s">
        <v>257</v>
      </c>
      <c r="F53" s="8">
        <v>117538150028</v>
      </c>
      <c r="G53" s="7" t="str">
        <f t="shared" si="1"/>
        <v>117538150028@r6-1.deped.gov.ph</v>
      </c>
      <c r="H53" s="8" t="str">
        <f t="shared" si="0"/>
        <v>serantes,302733</v>
      </c>
      <c r="I53" t="s">
        <v>14</v>
      </c>
    </row>
    <row r="54" spans="1:9" ht="12.75">
      <c r="A54" s="2">
        <v>51</v>
      </c>
      <c r="B54" s="7" t="s">
        <v>2301</v>
      </c>
      <c r="C54" s="7" t="s">
        <v>2326</v>
      </c>
      <c r="D54" s="7" t="s">
        <v>2327</v>
      </c>
      <c r="E54" s="8" t="s">
        <v>268</v>
      </c>
      <c r="F54" s="8">
        <v>117531160008</v>
      </c>
      <c r="G54" s="7" t="str">
        <f t="shared" si="1"/>
        <v>117531160008@r6-1.deped.gov.ph</v>
      </c>
      <c r="H54" s="8" t="str">
        <f t="shared" si="0"/>
        <v>tarroza,302733</v>
      </c>
      <c r="I54" t="s">
        <v>14</v>
      </c>
    </row>
    <row r="55" spans="1:9" ht="12.75">
      <c r="A55" s="2">
        <v>52</v>
      </c>
      <c r="B55" s="7" t="s">
        <v>2301</v>
      </c>
      <c r="C55" s="7" t="s">
        <v>2328</v>
      </c>
      <c r="D55" s="7" t="s">
        <v>2329</v>
      </c>
      <c r="E55" s="8" t="s">
        <v>239</v>
      </c>
      <c r="F55" s="8">
        <v>124579140025</v>
      </c>
      <c r="G55" s="7" t="str">
        <f t="shared" si="1"/>
        <v>124579140025@r6-1.deped.gov.ph</v>
      </c>
      <c r="H55" s="8" t="str">
        <f t="shared" si="0"/>
        <v>toriaga,302733</v>
      </c>
      <c r="I55" t="s">
        <v>14</v>
      </c>
    </row>
    <row r="56" spans="1:9" ht="12.75">
      <c r="A56" s="2">
        <v>53</v>
      </c>
      <c r="B56" s="7" t="s">
        <v>2301</v>
      </c>
      <c r="C56" s="7" t="s">
        <v>2330</v>
      </c>
      <c r="D56" s="7" t="s">
        <v>220</v>
      </c>
      <c r="E56" s="8" t="s">
        <v>242</v>
      </c>
      <c r="F56" s="8">
        <v>117541150062</v>
      </c>
      <c r="G56" s="7" t="str">
        <f t="shared" si="1"/>
        <v>117541150062@r6-1.deped.gov.ph</v>
      </c>
      <c r="H56" s="8" t="str">
        <f t="shared" si="0"/>
        <v>abria,302733</v>
      </c>
      <c r="I56" t="s">
        <v>14</v>
      </c>
    </row>
    <row r="57" spans="1:9" ht="12.75">
      <c r="A57" s="2">
        <v>54</v>
      </c>
      <c r="B57" s="7" t="s">
        <v>2301</v>
      </c>
      <c r="C57" s="7" t="s">
        <v>1223</v>
      </c>
      <c r="D57" s="7" t="s">
        <v>647</v>
      </c>
      <c r="E57" s="8" t="s">
        <v>257</v>
      </c>
      <c r="F57" s="8">
        <v>117541150083</v>
      </c>
      <c r="G57" s="7" t="str">
        <f t="shared" si="1"/>
        <v>117541150083@r6-1.deped.gov.ph</v>
      </c>
      <c r="H57" s="8" t="str">
        <f t="shared" si="0"/>
        <v>alob,302733</v>
      </c>
      <c r="I57" t="s">
        <v>14</v>
      </c>
    </row>
    <row r="58" spans="1:9" ht="12.75">
      <c r="A58" s="2">
        <v>55</v>
      </c>
      <c r="B58" s="7" t="s">
        <v>2301</v>
      </c>
      <c r="C58" s="7" t="s">
        <v>2331</v>
      </c>
      <c r="D58" s="7" t="s">
        <v>2332</v>
      </c>
      <c r="E58" s="8" t="s">
        <v>260</v>
      </c>
      <c r="F58" s="8">
        <v>117537150013</v>
      </c>
      <c r="G58" s="7" t="str">
        <f t="shared" si="1"/>
        <v>117537150013@r6-1.deped.gov.ph</v>
      </c>
      <c r="H58" s="8" t="str">
        <f t="shared" si="0"/>
        <v>amada,302733</v>
      </c>
      <c r="I58" t="s">
        <v>14</v>
      </c>
    </row>
    <row r="59" spans="1:9" ht="12.75">
      <c r="A59" s="2">
        <v>56</v>
      </c>
      <c r="B59" s="7" t="s">
        <v>2301</v>
      </c>
      <c r="C59" s="7" t="s">
        <v>2333</v>
      </c>
      <c r="D59" s="7" t="s">
        <v>2334</v>
      </c>
      <c r="E59" s="8" t="s">
        <v>239</v>
      </c>
      <c r="F59" s="8">
        <v>163509150046</v>
      </c>
      <c r="G59" s="7" t="str">
        <f t="shared" si="1"/>
        <v>163509150046@r6-1.deped.gov.ph</v>
      </c>
      <c r="H59" s="8" t="str">
        <f t="shared" si="0"/>
        <v>apuhin,302733</v>
      </c>
      <c r="I59" t="s">
        <v>46</v>
      </c>
    </row>
    <row r="60" spans="1:9" ht="12.75">
      <c r="A60" s="2">
        <v>57</v>
      </c>
      <c r="B60" s="7" t="s">
        <v>2301</v>
      </c>
      <c r="C60" s="7" t="s">
        <v>2335</v>
      </c>
      <c r="D60" s="7" t="s">
        <v>2336</v>
      </c>
      <c r="E60" s="8" t="s">
        <v>257</v>
      </c>
      <c r="F60" s="8">
        <v>117541150047</v>
      </c>
      <c r="G60" s="7" t="str">
        <f t="shared" si="1"/>
        <v>117541150047@r6-1.deped.gov.ph</v>
      </c>
      <c r="H60" s="8" t="str">
        <f t="shared" si="0"/>
        <v>ballares,302733</v>
      </c>
      <c r="I60" t="s">
        <v>14</v>
      </c>
    </row>
    <row r="61" spans="1:9" ht="12.75">
      <c r="A61" s="2">
        <v>58</v>
      </c>
      <c r="B61" s="7" t="s">
        <v>2301</v>
      </c>
      <c r="C61" s="7" t="s">
        <v>2270</v>
      </c>
      <c r="D61" s="7" t="s">
        <v>2337</v>
      </c>
      <c r="E61" s="8" t="s">
        <v>263</v>
      </c>
      <c r="F61" s="8">
        <v>117718150079</v>
      </c>
      <c r="G61" s="7" t="str">
        <f t="shared" si="1"/>
        <v>117718150079@r6-1.deped.gov.ph</v>
      </c>
      <c r="H61" s="8" t="str">
        <f t="shared" si="0"/>
        <v>batayen,302733</v>
      </c>
      <c r="I61" t="s">
        <v>14</v>
      </c>
    </row>
    <row r="62" spans="1:9" ht="12.75">
      <c r="A62" s="2">
        <v>59</v>
      </c>
      <c r="B62" s="7" t="s">
        <v>2301</v>
      </c>
      <c r="C62" s="7" t="s">
        <v>2338</v>
      </c>
      <c r="D62" s="7" t="s">
        <v>2339</v>
      </c>
      <c r="E62" s="8" t="s">
        <v>245</v>
      </c>
      <c r="F62" s="8">
        <v>117541150101</v>
      </c>
      <c r="G62" s="7" t="str">
        <f t="shared" si="1"/>
        <v>117541150101@r6-1.deped.gov.ph</v>
      </c>
      <c r="H62" s="8" t="str">
        <f t="shared" si="0"/>
        <v>bato-on,302733</v>
      </c>
      <c r="I62" t="s">
        <v>14</v>
      </c>
    </row>
    <row r="63" spans="1:9" ht="12.75">
      <c r="A63" s="2">
        <v>60</v>
      </c>
      <c r="B63" s="7" t="s">
        <v>2301</v>
      </c>
      <c r="C63" s="7" t="s">
        <v>2340</v>
      </c>
      <c r="D63" s="7" t="s">
        <v>2341</v>
      </c>
      <c r="E63" s="8" t="s">
        <v>245</v>
      </c>
      <c r="F63" s="8">
        <v>117541150049</v>
      </c>
      <c r="G63" s="7" t="str">
        <f t="shared" si="1"/>
        <v>117541150049@r6-1.deped.gov.ph</v>
      </c>
      <c r="H63" s="8" t="str">
        <f t="shared" si="0"/>
        <v>belliones,302733</v>
      </c>
      <c r="I63" t="s">
        <v>14</v>
      </c>
    </row>
    <row r="64" spans="1:9" ht="12.75">
      <c r="A64" s="2">
        <v>61</v>
      </c>
      <c r="B64" s="7" t="s">
        <v>2301</v>
      </c>
      <c r="C64" s="7" t="s">
        <v>1865</v>
      </c>
      <c r="D64" s="7" t="s">
        <v>2342</v>
      </c>
      <c r="E64" s="8" t="s">
        <v>252</v>
      </c>
      <c r="F64" s="8">
        <v>117541150018</v>
      </c>
      <c r="G64" s="7" t="str">
        <f t="shared" si="1"/>
        <v>117541150018@r6-1.deped.gov.ph</v>
      </c>
      <c r="H64" s="8" t="str">
        <f t="shared" si="0"/>
        <v>carano-o,302733</v>
      </c>
      <c r="I64" t="s">
        <v>14</v>
      </c>
    </row>
    <row r="65" spans="1:9" ht="12.75">
      <c r="A65" s="2">
        <v>62</v>
      </c>
      <c r="B65" s="7" t="s">
        <v>2301</v>
      </c>
      <c r="C65" s="7" t="s">
        <v>2343</v>
      </c>
      <c r="D65" s="7" t="s">
        <v>2344</v>
      </c>
      <c r="E65" s="8" t="s">
        <v>239</v>
      </c>
      <c r="F65" s="8">
        <v>117531150035</v>
      </c>
      <c r="G65" s="7" t="str">
        <f t="shared" si="1"/>
        <v>117531150035@r6-1.deped.gov.ph</v>
      </c>
      <c r="H65" s="8" t="str">
        <f t="shared" si="0"/>
        <v>carrascal,302733</v>
      </c>
      <c r="I65" t="s">
        <v>14</v>
      </c>
    </row>
    <row r="66" spans="1:9" ht="12.75">
      <c r="A66" s="2">
        <v>63</v>
      </c>
      <c r="B66" s="7" t="s">
        <v>2301</v>
      </c>
      <c r="C66" s="7" t="s">
        <v>611</v>
      </c>
      <c r="D66" s="7" t="s">
        <v>2345</v>
      </c>
      <c r="E66" s="8" t="s">
        <v>239</v>
      </c>
      <c r="F66" s="8">
        <v>117453150058</v>
      </c>
      <c r="G66" s="7" t="str">
        <f t="shared" si="1"/>
        <v>117453150058@r6-1.deped.gov.ph</v>
      </c>
      <c r="H66" s="8" t="str">
        <f t="shared" si="0"/>
        <v>francisco,302733</v>
      </c>
      <c r="I66" t="s">
        <v>14</v>
      </c>
    </row>
    <row r="67" spans="1:9" ht="12.75">
      <c r="A67" s="2">
        <v>64</v>
      </c>
      <c r="B67" s="7" t="s">
        <v>2301</v>
      </c>
      <c r="C67" s="7" t="s">
        <v>2346</v>
      </c>
      <c r="D67" s="7" t="s">
        <v>2347</v>
      </c>
      <c r="E67" s="8" t="s">
        <v>245</v>
      </c>
      <c r="F67" s="8">
        <v>117541140061</v>
      </c>
      <c r="G67" s="7" t="str">
        <f t="shared" si="1"/>
        <v>117541140061@r6-1.deped.gov.ph</v>
      </c>
      <c r="H67" s="8" t="str">
        <f t="shared" si="0"/>
        <v>genovia,302733</v>
      </c>
      <c r="I67" t="s">
        <v>14</v>
      </c>
    </row>
    <row r="68" spans="1:9" ht="12.75">
      <c r="A68" s="2">
        <v>65</v>
      </c>
      <c r="B68" s="7" t="s">
        <v>2301</v>
      </c>
      <c r="C68" s="7" t="s">
        <v>2348</v>
      </c>
      <c r="D68" s="7" t="s">
        <v>2349</v>
      </c>
      <c r="E68" s="8" t="s">
        <v>245</v>
      </c>
      <c r="F68" s="8">
        <v>117535150025</v>
      </c>
      <c r="G68" s="7" t="str">
        <f t="shared" ref="G68:G131" si="2">IF(F68="","",F68&amp;"@r6-1.deped.gov.ph")</f>
        <v>117535150025@r6-1.deped.gov.ph</v>
      </c>
      <c r="H68" s="8" t="str">
        <f t="shared" ref="H68:H131" si="3">IF(C68="","",LOWER(C68)&amp;",302733")</f>
        <v>jallores,302733</v>
      </c>
      <c r="I68" t="s">
        <v>14</v>
      </c>
    </row>
    <row r="69" spans="1:9" ht="12.75">
      <c r="A69" s="2">
        <v>66</v>
      </c>
      <c r="B69" s="7" t="s">
        <v>2301</v>
      </c>
      <c r="C69" s="7" t="s">
        <v>2350</v>
      </c>
      <c r="D69" s="7" t="s">
        <v>2351</v>
      </c>
      <c r="E69" s="8" t="s">
        <v>268</v>
      </c>
      <c r="F69" s="8">
        <v>117541150068</v>
      </c>
      <c r="G69" s="7" t="str">
        <f t="shared" si="2"/>
        <v>117541150068@r6-1.deped.gov.ph</v>
      </c>
      <c r="H69" s="8" t="str">
        <f t="shared" si="3"/>
        <v>lagarto,302733</v>
      </c>
      <c r="I69" t="s">
        <v>14</v>
      </c>
    </row>
    <row r="70" spans="1:9" ht="12.75">
      <c r="A70" s="2">
        <v>67</v>
      </c>
      <c r="B70" s="7" t="s">
        <v>2301</v>
      </c>
      <c r="C70" s="7" t="s">
        <v>2352</v>
      </c>
      <c r="D70" s="7" t="s">
        <v>1358</v>
      </c>
      <c r="E70" s="8" t="s">
        <v>242</v>
      </c>
      <c r="F70" s="8">
        <v>117537150039</v>
      </c>
      <c r="G70" s="7" t="str">
        <f t="shared" si="2"/>
        <v>117537150039@r6-1.deped.gov.ph</v>
      </c>
      <c r="H70" s="8" t="str">
        <f t="shared" si="3"/>
        <v>muega,302733</v>
      </c>
      <c r="I70" t="s">
        <v>14</v>
      </c>
    </row>
    <row r="71" spans="1:9" ht="12.75">
      <c r="A71" s="2">
        <v>68</v>
      </c>
      <c r="B71" s="7" t="s">
        <v>2301</v>
      </c>
      <c r="C71" s="7" t="s">
        <v>1950</v>
      </c>
      <c r="D71" s="7" t="s">
        <v>2353</v>
      </c>
      <c r="E71" s="8" t="s">
        <v>95</v>
      </c>
      <c r="F71" s="8">
        <v>136734160071</v>
      </c>
      <c r="G71" s="7" t="str">
        <f t="shared" si="2"/>
        <v>136734160071@r6-1.deped.gov.ph</v>
      </c>
      <c r="H71" s="8" t="str">
        <f t="shared" si="3"/>
        <v>orias,302733</v>
      </c>
      <c r="I71" t="s">
        <v>14</v>
      </c>
    </row>
    <row r="72" spans="1:9" ht="12.75">
      <c r="A72" s="2">
        <v>69</v>
      </c>
      <c r="B72" s="7" t="s">
        <v>2301</v>
      </c>
      <c r="C72" s="7" t="s">
        <v>2354</v>
      </c>
      <c r="D72" s="7" t="s">
        <v>2355</v>
      </c>
      <c r="E72" s="8" t="s">
        <v>311</v>
      </c>
      <c r="F72" s="8">
        <v>107945150045</v>
      </c>
      <c r="G72" s="7" t="str">
        <f t="shared" si="2"/>
        <v>107945150045@r6-1.deped.gov.ph</v>
      </c>
      <c r="H72" s="8" t="str">
        <f t="shared" si="3"/>
        <v>soriaga,302733</v>
      </c>
      <c r="I72" t="s">
        <v>14</v>
      </c>
    </row>
    <row r="73" spans="1:9" ht="12.75">
      <c r="A73" s="2">
        <v>70</v>
      </c>
      <c r="B73" s="7" t="s">
        <v>2301</v>
      </c>
      <c r="C73" s="7" t="s">
        <v>2356</v>
      </c>
      <c r="D73" s="7" t="s">
        <v>2357</v>
      </c>
      <c r="E73" s="8" t="s">
        <v>239</v>
      </c>
      <c r="F73" s="8">
        <v>117541150073</v>
      </c>
      <c r="G73" s="7" t="str">
        <f t="shared" si="2"/>
        <v>117541150073@r6-1.deped.gov.ph</v>
      </c>
      <c r="H73" s="8" t="str">
        <f t="shared" si="3"/>
        <v>vierneza,302733</v>
      </c>
      <c r="I73" t="s">
        <v>14</v>
      </c>
    </row>
    <row r="74" spans="1:9" ht="12.75">
      <c r="A74" s="2">
        <v>71</v>
      </c>
      <c r="B74" s="7" t="s">
        <v>2301</v>
      </c>
      <c r="C74" s="7" t="s">
        <v>492</v>
      </c>
      <c r="D74" s="7" t="s">
        <v>2358</v>
      </c>
      <c r="E74" s="8" t="s">
        <v>268</v>
      </c>
      <c r="F74" s="8">
        <v>117536150081</v>
      </c>
      <c r="G74" s="7" t="str">
        <f t="shared" si="2"/>
        <v>117536150081@r6-1.deped.gov.ph</v>
      </c>
      <c r="H74" s="8" t="str">
        <f t="shared" si="3"/>
        <v>villegas,302733</v>
      </c>
      <c r="I74" t="s">
        <v>14</v>
      </c>
    </row>
    <row r="75" spans="1:9" ht="12.75">
      <c r="A75" s="2">
        <v>72</v>
      </c>
      <c r="B75" s="7" t="s">
        <v>2359</v>
      </c>
      <c r="C75" s="7" t="s">
        <v>2360</v>
      </c>
      <c r="D75" s="7" t="s">
        <v>1046</v>
      </c>
      <c r="E75" s="8" t="s">
        <v>242</v>
      </c>
      <c r="F75" s="8">
        <v>117541130088</v>
      </c>
      <c r="G75" s="7" t="str">
        <f t="shared" si="2"/>
        <v>117541130088@r6-1.deped.gov.ph</v>
      </c>
      <c r="H75" s="8" t="str">
        <f t="shared" si="3"/>
        <v>daruca,302733</v>
      </c>
      <c r="I75" t="s">
        <v>14</v>
      </c>
    </row>
    <row r="76" spans="1:9" ht="12.75">
      <c r="A76" s="2">
        <v>73</v>
      </c>
      <c r="B76" s="7" t="s">
        <v>2359</v>
      </c>
      <c r="C76" s="7" t="s">
        <v>378</v>
      </c>
      <c r="D76" s="7" t="s">
        <v>2361</v>
      </c>
      <c r="E76" s="8" t="s">
        <v>239</v>
      </c>
      <c r="F76" s="8">
        <v>117541150014</v>
      </c>
      <c r="G76" s="7" t="str">
        <f t="shared" si="2"/>
        <v>117541150014@r6-1.deped.gov.ph</v>
      </c>
      <c r="H76" s="8" t="str">
        <f t="shared" si="3"/>
        <v>diola,302733</v>
      </c>
      <c r="I76" t="s">
        <v>14</v>
      </c>
    </row>
    <row r="77" spans="1:9" ht="12.75">
      <c r="A77" s="2">
        <v>74</v>
      </c>
      <c r="B77" s="7" t="s">
        <v>2359</v>
      </c>
      <c r="C77" s="7" t="s">
        <v>2362</v>
      </c>
      <c r="D77" s="7" t="s">
        <v>654</v>
      </c>
      <c r="E77" s="8" t="s">
        <v>245</v>
      </c>
      <c r="F77" s="8">
        <v>117559140045</v>
      </c>
      <c r="G77" s="7" t="str">
        <f t="shared" si="2"/>
        <v>117559140045@r6-1.deped.gov.ph</v>
      </c>
      <c r="H77" s="8" t="str">
        <f t="shared" si="3"/>
        <v>diongson,302733</v>
      </c>
      <c r="I77" t="s">
        <v>14</v>
      </c>
    </row>
    <row r="78" spans="1:9" ht="12.75">
      <c r="A78" s="2">
        <v>75</v>
      </c>
      <c r="B78" s="7" t="s">
        <v>2359</v>
      </c>
      <c r="C78" s="7" t="s">
        <v>2363</v>
      </c>
      <c r="D78" s="7" t="s">
        <v>2364</v>
      </c>
      <c r="E78" s="8" t="s">
        <v>739</v>
      </c>
      <c r="F78" s="8">
        <v>117541140041</v>
      </c>
      <c r="G78" s="7" t="str">
        <f t="shared" si="2"/>
        <v>117541140041@r6-1.deped.gov.ph</v>
      </c>
      <c r="H78" s="8" t="str">
        <f t="shared" si="3"/>
        <v>elmission,302733</v>
      </c>
      <c r="I78" t="s">
        <v>14</v>
      </c>
    </row>
    <row r="79" spans="1:9" ht="12.75">
      <c r="A79" s="2">
        <v>76</v>
      </c>
      <c r="B79" s="7" t="s">
        <v>2359</v>
      </c>
      <c r="C79" s="7" t="s">
        <v>2365</v>
      </c>
      <c r="D79" s="7" t="s">
        <v>2366</v>
      </c>
      <c r="E79" s="8" t="s">
        <v>294</v>
      </c>
      <c r="F79" s="8">
        <v>442006150021</v>
      </c>
      <c r="G79" s="7" t="str">
        <f t="shared" si="2"/>
        <v>442006150021@r6-1.deped.gov.ph</v>
      </c>
      <c r="H79" s="8" t="str">
        <f t="shared" si="3"/>
        <v>ipo,302733</v>
      </c>
      <c r="I79" t="s">
        <v>14</v>
      </c>
    </row>
    <row r="80" spans="1:9" ht="12.75">
      <c r="A80" s="2">
        <v>77</v>
      </c>
      <c r="B80" s="7" t="s">
        <v>2359</v>
      </c>
      <c r="C80" s="7" t="s">
        <v>2348</v>
      </c>
      <c r="D80" s="7" t="s">
        <v>2367</v>
      </c>
      <c r="E80" s="8" t="s">
        <v>245</v>
      </c>
      <c r="F80" s="8">
        <v>117535150008</v>
      </c>
      <c r="G80" s="7" t="str">
        <f t="shared" si="2"/>
        <v>117535150008@r6-1.deped.gov.ph</v>
      </c>
      <c r="H80" s="8" t="str">
        <f t="shared" si="3"/>
        <v>jallores,302733</v>
      </c>
      <c r="I80" t="s">
        <v>14</v>
      </c>
    </row>
    <row r="81" spans="1:9" ht="12.75">
      <c r="A81" s="2">
        <v>78</v>
      </c>
      <c r="B81" s="7" t="s">
        <v>2359</v>
      </c>
      <c r="C81" s="7" t="s">
        <v>2096</v>
      </c>
      <c r="D81" s="7" t="s">
        <v>2052</v>
      </c>
      <c r="E81" s="8" t="s">
        <v>239</v>
      </c>
      <c r="F81" s="8">
        <v>117466150098</v>
      </c>
      <c r="G81" s="7" t="str">
        <f t="shared" si="2"/>
        <v>117466150098@r6-1.deped.gov.ph</v>
      </c>
      <c r="H81" s="8" t="str">
        <f t="shared" si="3"/>
        <v>pasilan,302733</v>
      </c>
      <c r="I81" t="s">
        <v>14</v>
      </c>
    </row>
    <row r="82" spans="1:9" ht="12.75">
      <c r="A82" s="2">
        <v>79</v>
      </c>
      <c r="B82" s="7" t="s">
        <v>2359</v>
      </c>
      <c r="C82" s="7" t="s">
        <v>2368</v>
      </c>
      <c r="D82" s="7" t="s">
        <v>2160</v>
      </c>
      <c r="E82" s="8" t="s">
        <v>309</v>
      </c>
      <c r="F82" s="8">
        <v>117541150010</v>
      </c>
      <c r="G82" s="7" t="str">
        <f t="shared" si="2"/>
        <v>117541150010@r6-1.deped.gov.ph</v>
      </c>
      <c r="H82" s="8" t="str">
        <f t="shared" si="3"/>
        <v>priza,302733</v>
      </c>
      <c r="I82" t="s">
        <v>14</v>
      </c>
    </row>
    <row r="83" spans="1:9" ht="12.75">
      <c r="A83" s="2">
        <v>80</v>
      </c>
      <c r="B83" s="7" t="s">
        <v>2359</v>
      </c>
      <c r="C83" s="7" t="s">
        <v>2369</v>
      </c>
      <c r="D83" s="7" t="s">
        <v>2370</v>
      </c>
      <c r="E83" s="8" t="s">
        <v>263</v>
      </c>
      <c r="F83" s="8">
        <v>117541150093</v>
      </c>
      <c r="G83" s="7" t="str">
        <f t="shared" si="2"/>
        <v>117541150093@r6-1.deped.gov.ph</v>
      </c>
      <c r="H83" s="8" t="str">
        <f t="shared" si="3"/>
        <v>adrino,302733</v>
      </c>
      <c r="I83" t="s">
        <v>14</v>
      </c>
    </row>
    <row r="84" spans="1:9" ht="12.75">
      <c r="A84" s="2">
        <v>81</v>
      </c>
      <c r="B84" s="7" t="s">
        <v>2359</v>
      </c>
      <c r="C84" s="7" t="s">
        <v>882</v>
      </c>
      <c r="D84" s="7" t="s">
        <v>2371</v>
      </c>
      <c r="E84" s="8" t="s">
        <v>294</v>
      </c>
      <c r="F84" s="8">
        <v>117541150102</v>
      </c>
      <c r="G84" s="7" t="str">
        <f t="shared" si="2"/>
        <v>117541150102@r6-1.deped.gov.ph</v>
      </c>
      <c r="H84" s="8" t="str">
        <f t="shared" si="3"/>
        <v>aguilar,302733</v>
      </c>
      <c r="I84" t="s">
        <v>14</v>
      </c>
    </row>
    <row r="85" spans="1:9" ht="12.75">
      <c r="A85" s="2">
        <v>82</v>
      </c>
      <c r="B85" s="7" t="s">
        <v>2359</v>
      </c>
      <c r="C85" s="7" t="s">
        <v>132</v>
      </c>
      <c r="D85" s="7" t="s">
        <v>2372</v>
      </c>
      <c r="E85" s="8" t="s">
        <v>257</v>
      </c>
      <c r="F85" s="8">
        <v>117541150064</v>
      </c>
      <c r="G85" s="7" t="str">
        <f t="shared" si="2"/>
        <v>117541150064@r6-1.deped.gov.ph</v>
      </c>
      <c r="H85" s="8" t="str">
        <f t="shared" si="3"/>
        <v>aguirre,302733</v>
      </c>
      <c r="I85" t="s">
        <v>14</v>
      </c>
    </row>
    <row r="86" spans="1:9" ht="12.75">
      <c r="A86" s="2">
        <v>83</v>
      </c>
      <c r="B86" s="7" t="s">
        <v>2359</v>
      </c>
      <c r="C86" s="7" t="s">
        <v>2270</v>
      </c>
      <c r="D86" s="7" t="s">
        <v>2373</v>
      </c>
      <c r="E86" s="8" t="s">
        <v>252</v>
      </c>
      <c r="F86" s="8">
        <v>117537150031</v>
      </c>
      <c r="G86" s="7" t="str">
        <f t="shared" si="2"/>
        <v>117537150031@r6-1.deped.gov.ph</v>
      </c>
      <c r="H86" s="8" t="str">
        <f t="shared" si="3"/>
        <v>batayen,302733</v>
      </c>
      <c r="I86" t="s">
        <v>14</v>
      </c>
    </row>
    <row r="87" spans="1:9" ht="12.75">
      <c r="A87" s="2">
        <v>84</v>
      </c>
      <c r="B87" s="7" t="s">
        <v>2359</v>
      </c>
      <c r="C87" s="7" t="s">
        <v>2374</v>
      </c>
      <c r="D87" s="7" t="s">
        <v>2375</v>
      </c>
      <c r="E87" s="8" t="s">
        <v>255</v>
      </c>
      <c r="F87" s="8">
        <v>117536150037</v>
      </c>
      <c r="G87" s="7" t="str">
        <f t="shared" si="2"/>
        <v>117536150037@r6-1.deped.gov.ph</v>
      </c>
      <c r="H87" s="8" t="str">
        <f t="shared" si="3"/>
        <v>boko,302733</v>
      </c>
      <c r="I87" t="s">
        <v>14</v>
      </c>
    </row>
    <row r="88" spans="1:9" ht="12.75">
      <c r="A88" s="2">
        <v>85</v>
      </c>
      <c r="B88" s="7" t="s">
        <v>2359</v>
      </c>
      <c r="C88" s="7" t="s">
        <v>2306</v>
      </c>
      <c r="D88" s="7" t="s">
        <v>2376</v>
      </c>
      <c r="E88" s="8" t="s">
        <v>281</v>
      </c>
      <c r="F88" s="8">
        <v>117535150018</v>
      </c>
      <c r="G88" s="7" t="str">
        <f t="shared" si="2"/>
        <v>117535150018@r6-1.deped.gov.ph</v>
      </c>
      <c r="H88" s="8" t="str">
        <f t="shared" si="3"/>
        <v>castroverde,302733</v>
      </c>
      <c r="I88" t="s">
        <v>14</v>
      </c>
    </row>
    <row r="89" spans="1:9" ht="12.75">
      <c r="A89" s="2">
        <v>86</v>
      </c>
      <c r="B89" s="7" t="s">
        <v>2359</v>
      </c>
      <c r="C89" s="7" t="s">
        <v>2308</v>
      </c>
      <c r="D89" s="7" t="s">
        <v>2377</v>
      </c>
      <c r="E89" s="8" t="s">
        <v>245</v>
      </c>
      <c r="F89" s="8">
        <v>117541150020</v>
      </c>
      <c r="G89" s="7" t="str">
        <f t="shared" si="2"/>
        <v>117541150020@r6-1.deped.gov.ph</v>
      </c>
      <c r="H89" s="8" t="str">
        <f t="shared" si="3"/>
        <v>chua,302733</v>
      </c>
      <c r="I89" t="s">
        <v>14</v>
      </c>
    </row>
    <row r="90" spans="1:9" ht="12.75">
      <c r="A90" s="2">
        <v>87</v>
      </c>
      <c r="B90" s="7" t="s">
        <v>2359</v>
      </c>
      <c r="C90" s="7" t="s">
        <v>324</v>
      </c>
      <c r="D90" s="7" t="s">
        <v>2378</v>
      </c>
      <c r="E90" s="8" t="s">
        <v>300</v>
      </c>
      <c r="F90" s="8">
        <v>117541150094</v>
      </c>
      <c r="G90" s="7" t="str">
        <f t="shared" si="2"/>
        <v>117541150094@r6-1.deped.gov.ph</v>
      </c>
      <c r="H90" s="8" t="str">
        <f t="shared" si="3"/>
        <v>desamparado,302733</v>
      </c>
      <c r="I90" t="s">
        <v>14</v>
      </c>
    </row>
    <row r="91" spans="1:9" ht="12.75">
      <c r="A91" s="2">
        <v>88</v>
      </c>
      <c r="B91" s="7" t="s">
        <v>2359</v>
      </c>
      <c r="C91" s="7" t="s">
        <v>2088</v>
      </c>
      <c r="D91" s="7" t="s">
        <v>2379</v>
      </c>
      <c r="E91" s="8" t="s">
        <v>239</v>
      </c>
      <c r="F91" s="8">
        <v>117540150069</v>
      </c>
      <c r="G91" s="7" t="str">
        <f t="shared" si="2"/>
        <v>117540150069@r6-1.deped.gov.ph</v>
      </c>
      <c r="H91" s="8" t="str">
        <f t="shared" si="3"/>
        <v>ducay,302733</v>
      </c>
      <c r="I91" t="s">
        <v>14</v>
      </c>
    </row>
    <row r="92" spans="1:9" ht="12.75">
      <c r="A92" s="2">
        <v>89</v>
      </c>
      <c r="B92" s="7" t="s">
        <v>2359</v>
      </c>
      <c r="C92" s="7" t="s">
        <v>2363</v>
      </c>
      <c r="D92" s="7" t="s">
        <v>2380</v>
      </c>
      <c r="E92" s="8" t="s">
        <v>361</v>
      </c>
      <c r="F92" s="8">
        <v>117535150021</v>
      </c>
      <c r="G92" s="7" t="str">
        <f t="shared" si="2"/>
        <v>117535150021@r6-1.deped.gov.ph</v>
      </c>
      <c r="H92" s="8" t="str">
        <f t="shared" si="3"/>
        <v>elmission,302733</v>
      </c>
      <c r="I92" t="s">
        <v>14</v>
      </c>
    </row>
    <row r="93" spans="1:9" ht="12.75">
      <c r="A93" s="2">
        <v>90</v>
      </c>
      <c r="B93" s="7" t="s">
        <v>2359</v>
      </c>
      <c r="C93" s="7" t="s">
        <v>2381</v>
      </c>
      <c r="D93" s="7" t="s">
        <v>2382</v>
      </c>
      <c r="E93" s="8" t="s">
        <v>361</v>
      </c>
      <c r="F93" s="8">
        <v>117535150022</v>
      </c>
      <c r="G93" s="7" t="str">
        <f t="shared" si="2"/>
        <v>117535150022@r6-1.deped.gov.ph</v>
      </c>
      <c r="H93" s="8" t="str">
        <f t="shared" si="3"/>
        <v>entredicho,302733</v>
      </c>
      <c r="I93" t="s">
        <v>14</v>
      </c>
    </row>
    <row r="94" spans="1:9" ht="12.75">
      <c r="A94" s="2">
        <v>91</v>
      </c>
      <c r="B94" s="7" t="s">
        <v>2359</v>
      </c>
      <c r="C94" s="7" t="s">
        <v>611</v>
      </c>
      <c r="D94" s="7" t="s">
        <v>1122</v>
      </c>
      <c r="E94" s="8" t="s">
        <v>239</v>
      </c>
      <c r="F94" s="8">
        <v>116241150025</v>
      </c>
      <c r="G94" s="7" t="str">
        <f t="shared" si="2"/>
        <v>116241150025@r6-1.deped.gov.ph</v>
      </c>
      <c r="H94" s="8" t="str">
        <f t="shared" si="3"/>
        <v>francisco,302733</v>
      </c>
      <c r="I94" t="s">
        <v>46</v>
      </c>
    </row>
    <row r="95" spans="1:9" ht="12.75">
      <c r="A95" s="2">
        <v>92</v>
      </c>
      <c r="B95" s="7" t="s">
        <v>2359</v>
      </c>
      <c r="C95" s="7" t="s">
        <v>2383</v>
      </c>
      <c r="D95" s="7" t="s">
        <v>2384</v>
      </c>
      <c r="E95" s="8" t="s">
        <v>263</v>
      </c>
      <c r="F95" s="8">
        <v>117535150023</v>
      </c>
      <c r="G95" s="7" t="str">
        <f t="shared" si="2"/>
        <v>117535150023@r6-1.deped.gov.ph</v>
      </c>
      <c r="H95" s="8" t="str">
        <f t="shared" si="3"/>
        <v>gojo,302733</v>
      </c>
      <c r="I95" t="s">
        <v>14</v>
      </c>
    </row>
    <row r="96" spans="1:9" ht="12.75">
      <c r="A96" s="2">
        <v>93</v>
      </c>
      <c r="B96" s="7" t="s">
        <v>2359</v>
      </c>
      <c r="C96" s="7" t="s">
        <v>383</v>
      </c>
      <c r="D96" s="7" t="s">
        <v>2385</v>
      </c>
      <c r="E96" s="8" t="s">
        <v>309</v>
      </c>
      <c r="F96" s="8">
        <v>117541150026</v>
      </c>
      <c r="G96" s="7" t="str">
        <f t="shared" si="2"/>
        <v>117541150026@r6-1.deped.gov.ph</v>
      </c>
      <c r="H96" s="8" t="str">
        <f t="shared" si="3"/>
        <v>gonzales,302733</v>
      </c>
      <c r="I96" t="s">
        <v>14</v>
      </c>
    </row>
    <row r="97" spans="1:9" ht="12.75">
      <c r="A97" s="2">
        <v>94</v>
      </c>
      <c r="B97" s="7" t="s">
        <v>2359</v>
      </c>
      <c r="C97" s="7" t="s">
        <v>2386</v>
      </c>
      <c r="D97" s="7" t="s">
        <v>2387</v>
      </c>
      <c r="E97" s="8" t="s">
        <v>245</v>
      </c>
      <c r="F97" s="8">
        <v>117541150028</v>
      </c>
      <c r="G97" s="7" t="str">
        <f t="shared" si="2"/>
        <v>117541150028@r6-1.deped.gov.ph</v>
      </c>
      <c r="H97" s="8" t="str">
        <f t="shared" si="3"/>
        <v>jaravelo,302733</v>
      </c>
      <c r="I97" t="s">
        <v>14</v>
      </c>
    </row>
    <row r="98" spans="1:9" ht="12.75">
      <c r="A98" s="2">
        <v>95</v>
      </c>
      <c r="B98" s="7" t="s">
        <v>2359</v>
      </c>
      <c r="C98" s="7" t="s">
        <v>2388</v>
      </c>
      <c r="D98" s="7" t="s">
        <v>1784</v>
      </c>
      <c r="E98" s="8" t="s">
        <v>361</v>
      </c>
      <c r="F98" s="8">
        <v>117535150026</v>
      </c>
      <c r="G98" s="7" t="str">
        <f t="shared" si="2"/>
        <v>117535150026@r6-1.deped.gov.ph</v>
      </c>
      <c r="H98" s="8" t="str">
        <f t="shared" si="3"/>
        <v>macaya,302733</v>
      </c>
      <c r="I98" t="s">
        <v>14</v>
      </c>
    </row>
    <row r="99" spans="1:9" ht="12.75">
      <c r="A99" s="2">
        <v>96</v>
      </c>
      <c r="B99" s="7" t="s">
        <v>2359</v>
      </c>
      <c r="C99" s="7" t="s">
        <v>1488</v>
      </c>
      <c r="D99" s="7" t="s">
        <v>2389</v>
      </c>
      <c r="E99" s="8" t="s">
        <v>242</v>
      </c>
      <c r="F99" s="8">
        <v>117541150030</v>
      </c>
      <c r="G99" s="7" t="str">
        <f t="shared" si="2"/>
        <v>117541150030@r6-1.deped.gov.ph</v>
      </c>
      <c r="H99" s="8" t="str">
        <f t="shared" si="3"/>
        <v>martinez,302733</v>
      </c>
      <c r="I99" t="s">
        <v>14</v>
      </c>
    </row>
    <row r="100" spans="1:9" ht="12.75">
      <c r="A100" s="2">
        <v>97</v>
      </c>
      <c r="B100" s="7" t="s">
        <v>2359</v>
      </c>
      <c r="C100" s="7" t="s">
        <v>340</v>
      </c>
      <c r="D100" s="7" t="s">
        <v>2390</v>
      </c>
      <c r="E100" s="8" t="s">
        <v>252</v>
      </c>
      <c r="F100" s="8">
        <v>117541150098</v>
      </c>
      <c r="G100" s="7" t="str">
        <f t="shared" si="2"/>
        <v>117541150098@r6-1.deped.gov.ph</v>
      </c>
      <c r="H100" s="8" t="str">
        <f t="shared" si="3"/>
        <v>mendoza,302733</v>
      </c>
      <c r="I100" t="s">
        <v>14</v>
      </c>
    </row>
    <row r="101" spans="1:9" ht="12.75">
      <c r="A101" s="2">
        <v>98</v>
      </c>
      <c r="B101" s="7" t="s">
        <v>2359</v>
      </c>
      <c r="C101" s="7" t="s">
        <v>1823</v>
      </c>
      <c r="D101" s="7" t="s">
        <v>2391</v>
      </c>
      <c r="E101" s="8" t="s">
        <v>263</v>
      </c>
      <c r="F101" s="8">
        <v>117535150027</v>
      </c>
      <c r="G101" s="7" t="str">
        <f t="shared" si="2"/>
        <v>117535150027@r6-1.deped.gov.ph</v>
      </c>
      <c r="H101" s="8" t="str">
        <f t="shared" si="3"/>
        <v>ofianga,302733</v>
      </c>
      <c r="I101" t="s">
        <v>14</v>
      </c>
    </row>
    <row r="102" spans="1:9" ht="12.75">
      <c r="A102" s="2">
        <v>99</v>
      </c>
      <c r="B102" s="7" t="s">
        <v>2359</v>
      </c>
      <c r="C102" s="7" t="s">
        <v>2392</v>
      </c>
      <c r="D102" s="7" t="s">
        <v>2393</v>
      </c>
      <c r="E102" s="8" t="s">
        <v>309</v>
      </c>
      <c r="F102" s="8">
        <v>117541150097</v>
      </c>
      <c r="G102" s="7" t="str">
        <f t="shared" si="2"/>
        <v>117541150097@r6-1.deped.gov.ph</v>
      </c>
      <c r="H102" s="8" t="str">
        <f t="shared" si="3"/>
        <v>onayan,302733</v>
      </c>
      <c r="I102" t="s">
        <v>14</v>
      </c>
    </row>
    <row r="103" spans="1:9" ht="12.75">
      <c r="A103" s="2">
        <v>100</v>
      </c>
      <c r="B103" s="7" t="s">
        <v>2359</v>
      </c>
      <c r="C103" s="7" t="s">
        <v>288</v>
      </c>
      <c r="D103" s="7" t="s">
        <v>1015</v>
      </c>
      <c r="E103" s="8" t="s">
        <v>255</v>
      </c>
      <c r="F103" s="8">
        <v>117541150096</v>
      </c>
      <c r="G103" s="7" t="str">
        <f t="shared" si="2"/>
        <v>117541150096@r6-1.deped.gov.ph</v>
      </c>
      <c r="H103" s="8" t="str">
        <f t="shared" si="3"/>
        <v>ramos,302733</v>
      </c>
      <c r="I103" t="s">
        <v>46</v>
      </c>
    </row>
    <row r="104" spans="1:9" ht="12.75">
      <c r="A104" s="2">
        <v>101</v>
      </c>
      <c r="B104" s="7" t="s">
        <v>2359</v>
      </c>
      <c r="C104" s="7" t="s">
        <v>757</v>
      </c>
      <c r="D104" s="7" t="s">
        <v>2394</v>
      </c>
      <c r="E104" s="8" t="s">
        <v>309</v>
      </c>
      <c r="F104" s="8">
        <v>117541150105</v>
      </c>
      <c r="G104" s="7" t="str">
        <f t="shared" si="2"/>
        <v>117541150105@r6-1.deped.gov.ph</v>
      </c>
      <c r="H104" s="8" t="str">
        <f t="shared" si="3"/>
        <v>romero,302733</v>
      </c>
      <c r="I104" t="s">
        <v>14</v>
      </c>
    </row>
    <row r="105" spans="1:9" ht="12.75">
      <c r="A105" s="2">
        <v>102</v>
      </c>
      <c r="B105" s="7" t="s">
        <v>2359</v>
      </c>
      <c r="C105" s="7" t="s">
        <v>351</v>
      </c>
      <c r="D105" s="7" t="s">
        <v>2395</v>
      </c>
      <c r="E105" s="8" t="s">
        <v>239</v>
      </c>
      <c r="F105" s="8">
        <v>117541150104</v>
      </c>
      <c r="G105" s="7" t="str">
        <f t="shared" si="2"/>
        <v>117541150104@r6-1.deped.gov.ph</v>
      </c>
      <c r="H105" s="8" t="str">
        <f t="shared" si="3"/>
        <v>sayson,302733</v>
      </c>
      <c r="I105" t="s">
        <v>14</v>
      </c>
    </row>
    <row r="106" spans="1:9" ht="12.75">
      <c r="A106" s="2">
        <v>103</v>
      </c>
      <c r="B106" s="7" t="s">
        <v>2359</v>
      </c>
      <c r="C106" s="7" t="s">
        <v>2396</v>
      </c>
      <c r="D106" s="7" t="s">
        <v>2397</v>
      </c>
      <c r="E106" s="8" t="s">
        <v>361</v>
      </c>
      <c r="F106" s="8">
        <v>117541150072</v>
      </c>
      <c r="G106" s="7" t="str">
        <f t="shared" si="2"/>
        <v>117541150072@r6-1.deped.gov.ph</v>
      </c>
      <c r="H106" s="8" t="str">
        <f t="shared" si="3"/>
        <v>sua,302733</v>
      </c>
      <c r="I106" t="s">
        <v>14</v>
      </c>
    </row>
    <row r="107" spans="1:9" ht="12.75">
      <c r="A107" s="2">
        <v>104</v>
      </c>
      <c r="B107" s="7" t="s">
        <v>2359</v>
      </c>
      <c r="C107" s="7" t="s">
        <v>2398</v>
      </c>
      <c r="D107" s="7" t="s">
        <v>2399</v>
      </c>
      <c r="E107" s="8" t="s">
        <v>245</v>
      </c>
      <c r="F107" s="8">
        <v>117535150031</v>
      </c>
      <c r="G107" s="7" t="str">
        <f t="shared" si="2"/>
        <v>117535150031@r6-1.deped.gov.ph</v>
      </c>
      <c r="H107" s="8" t="str">
        <f t="shared" si="3"/>
        <v>tayad,302733</v>
      </c>
      <c r="I107" t="s">
        <v>14</v>
      </c>
    </row>
    <row r="108" spans="1:9" ht="12.75">
      <c r="A108" s="2">
        <v>105</v>
      </c>
      <c r="B108" s="7" t="s">
        <v>2359</v>
      </c>
      <c r="C108" s="7" t="s">
        <v>2400</v>
      </c>
      <c r="D108" s="7" t="s">
        <v>2401</v>
      </c>
      <c r="E108" s="8" t="s">
        <v>294</v>
      </c>
      <c r="F108" s="8">
        <v>117246130071</v>
      </c>
      <c r="G108" s="7" t="str">
        <f t="shared" si="2"/>
        <v>117246130071@r6-1.deped.gov.ph</v>
      </c>
      <c r="H108" s="8" t="str">
        <f t="shared" si="3"/>
        <v>tayco,302733</v>
      </c>
      <c r="I108" t="s">
        <v>14</v>
      </c>
    </row>
    <row r="109" spans="1:9" ht="12.75">
      <c r="A109" s="2">
        <v>106</v>
      </c>
      <c r="B109" s="7" t="s">
        <v>2359</v>
      </c>
      <c r="C109" s="7" t="s">
        <v>2402</v>
      </c>
      <c r="D109" s="7" t="s">
        <v>2403</v>
      </c>
      <c r="E109" s="8" t="s">
        <v>268</v>
      </c>
      <c r="F109" s="8">
        <v>117541150089</v>
      </c>
      <c r="G109" s="7" t="str">
        <f t="shared" si="2"/>
        <v>117541150089@r6-1.deped.gov.ph</v>
      </c>
      <c r="H109" s="8" t="str">
        <f t="shared" si="3"/>
        <v>ursal,302733</v>
      </c>
      <c r="I109" t="s">
        <v>14</v>
      </c>
    </row>
    <row r="110" spans="1:9" ht="12.75">
      <c r="A110" s="2">
        <v>107</v>
      </c>
      <c r="B110" s="7" t="s">
        <v>2359</v>
      </c>
      <c r="C110" s="7" t="s">
        <v>2404</v>
      </c>
      <c r="D110" s="7" t="s">
        <v>2230</v>
      </c>
      <c r="E110" s="8" t="s">
        <v>239</v>
      </c>
      <c r="F110" s="8">
        <v>117572120067</v>
      </c>
      <c r="G110" s="7" t="str">
        <f t="shared" si="2"/>
        <v>117572120067@r6-1.deped.gov.ph</v>
      </c>
      <c r="H110" s="8" t="str">
        <f t="shared" si="3"/>
        <v>veraña,302733</v>
      </c>
      <c r="I110" t="s">
        <v>14</v>
      </c>
    </row>
    <row r="111" spans="1:9" ht="12.75">
      <c r="A111" s="2">
        <v>108</v>
      </c>
      <c r="B111" s="7" t="s">
        <v>2359</v>
      </c>
      <c r="C111" s="7" t="s">
        <v>2405</v>
      </c>
      <c r="D111" s="7" t="s">
        <v>2406</v>
      </c>
      <c r="E111" s="8" t="s">
        <v>252</v>
      </c>
      <c r="F111" s="8">
        <v>117540150071</v>
      </c>
      <c r="G111" s="7" t="str">
        <f t="shared" si="2"/>
        <v>117540150071@r6-1.deped.gov.ph</v>
      </c>
      <c r="H111" s="8" t="str">
        <f t="shared" si="3"/>
        <v>villarino,302733</v>
      </c>
      <c r="I111" t="s">
        <v>14</v>
      </c>
    </row>
    <row r="112" spans="1:9" ht="12.75">
      <c r="A112" s="2">
        <v>109</v>
      </c>
      <c r="B112" s="7" t="s">
        <v>2407</v>
      </c>
      <c r="C112" s="7" t="s">
        <v>2270</v>
      </c>
      <c r="D112" s="7" t="s">
        <v>12</v>
      </c>
      <c r="E112" s="8" t="s">
        <v>268</v>
      </c>
      <c r="F112" s="8">
        <v>117537130022</v>
      </c>
      <c r="G112" s="7" t="str">
        <f t="shared" si="2"/>
        <v>117537130022@r6-1.deped.gov.ph</v>
      </c>
      <c r="H112" s="8" t="str">
        <f t="shared" si="3"/>
        <v>batayen,302733</v>
      </c>
      <c r="I112" t="s">
        <v>14</v>
      </c>
    </row>
    <row r="113" spans="1:9" ht="12.75">
      <c r="A113" s="2">
        <v>110</v>
      </c>
      <c r="B113" s="7" t="s">
        <v>2407</v>
      </c>
      <c r="C113" s="7" t="s">
        <v>2270</v>
      </c>
      <c r="D113" s="7" t="s">
        <v>2408</v>
      </c>
      <c r="E113" s="8" t="s">
        <v>257</v>
      </c>
      <c r="F113" s="8">
        <v>117537140030</v>
      </c>
      <c r="G113" s="7" t="str">
        <f t="shared" si="2"/>
        <v>117537140030@r6-1.deped.gov.ph</v>
      </c>
      <c r="H113" s="8" t="str">
        <f t="shared" si="3"/>
        <v>batayen,302733</v>
      </c>
      <c r="I113" t="s">
        <v>14</v>
      </c>
    </row>
    <row r="114" spans="1:9" ht="12.75">
      <c r="A114" s="2">
        <v>111</v>
      </c>
      <c r="B114" s="7" t="s">
        <v>2407</v>
      </c>
      <c r="C114" s="7" t="s">
        <v>2270</v>
      </c>
      <c r="D114" s="7" t="s">
        <v>2409</v>
      </c>
      <c r="E114" s="8" t="s">
        <v>255</v>
      </c>
      <c r="F114" s="8">
        <v>117537130024</v>
      </c>
      <c r="G114" s="7" t="str">
        <f t="shared" si="2"/>
        <v>117537130024@r6-1.deped.gov.ph</v>
      </c>
      <c r="H114" s="8" t="str">
        <f t="shared" si="3"/>
        <v>batayen,302733</v>
      </c>
      <c r="I114" t="s">
        <v>14</v>
      </c>
    </row>
    <row r="115" spans="1:9" ht="12.75">
      <c r="A115" s="2">
        <v>112</v>
      </c>
      <c r="B115" s="7" t="s">
        <v>2407</v>
      </c>
      <c r="C115" s="7" t="s">
        <v>2410</v>
      </c>
      <c r="D115" s="7" t="s">
        <v>2411</v>
      </c>
      <c r="E115" s="8" t="s">
        <v>263</v>
      </c>
      <c r="F115" s="8">
        <v>117546150144</v>
      </c>
      <c r="G115" s="7" t="str">
        <f t="shared" si="2"/>
        <v>117546150144@r6-1.deped.gov.ph</v>
      </c>
      <c r="H115" s="8" t="str">
        <f t="shared" si="3"/>
        <v>blancaflor,302733</v>
      </c>
      <c r="I115" t="s">
        <v>14</v>
      </c>
    </row>
    <row r="116" spans="1:9" ht="12.75">
      <c r="A116" s="2">
        <v>113</v>
      </c>
      <c r="B116" s="7" t="s">
        <v>2407</v>
      </c>
      <c r="C116" s="7" t="s">
        <v>243</v>
      </c>
      <c r="D116" s="7" t="s">
        <v>2412</v>
      </c>
      <c r="E116" s="8" t="s">
        <v>252</v>
      </c>
      <c r="F116" s="8">
        <v>117535150002</v>
      </c>
      <c r="G116" s="7" t="str">
        <f t="shared" si="2"/>
        <v>117535150002@r6-1.deped.gov.ph</v>
      </c>
      <c r="H116" s="8" t="str">
        <f t="shared" si="3"/>
        <v>cabahug,302733</v>
      </c>
      <c r="I116" t="s">
        <v>14</v>
      </c>
    </row>
    <row r="117" spans="1:9" ht="12.75">
      <c r="A117" s="2">
        <v>114</v>
      </c>
      <c r="B117" s="7" t="s">
        <v>2407</v>
      </c>
      <c r="C117" s="7" t="s">
        <v>2413</v>
      </c>
      <c r="D117" s="7" t="s">
        <v>2204</v>
      </c>
      <c r="E117" s="8" t="s">
        <v>252</v>
      </c>
      <c r="F117" s="8">
        <v>117541150005</v>
      </c>
      <c r="G117" s="7" t="str">
        <f t="shared" si="2"/>
        <v>117541150005@r6-1.deped.gov.ph</v>
      </c>
      <c r="H117" s="8" t="str">
        <f t="shared" si="3"/>
        <v>cabasingan,302733</v>
      </c>
      <c r="I117" t="s">
        <v>14</v>
      </c>
    </row>
    <row r="118" spans="1:9" ht="12.75">
      <c r="A118" s="2">
        <v>115</v>
      </c>
      <c r="B118" s="7" t="s">
        <v>2407</v>
      </c>
      <c r="C118" s="7" t="s">
        <v>2414</v>
      </c>
      <c r="D118" s="7" t="s">
        <v>2415</v>
      </c>
      <c r="E118" s="8" t="s">
        <v>260</v>
      </c>
      <c r="F118" s="8">
        <v>107912140416</v>
      </c>
      <c r="G118" s="7" t="str">
        <f t="shared" si="2"/>
        <v>107912140416@r6-1.deped.gov.ph</v>
      </c>
      <c r="H118" s="8" t="str">
        <f t="shared" si="3"/>
        <v>cardinal,302733</v>
      </c>
      <c r="I118" t="s">
        <v>14</v>
      </c>
    </row>
    <row r="119" spans="1:9" ht="12.75">
      <c r="A119" s="2">
        <v>116</v>
      </c>
      <c r="B119" s="7" t="s">
        <v>2407</v>
      </c>
      <c r="C119" s="7" t="s">
        <v>2416</v>
      </c>
      <c r="D119" s="7" t="s">
        <v>2417</v>
      </c>
      <c r="E119" s="8" t="s">
        <v>252</v>
      </c>
      <c r="F119" s="8">
        <v>117538140003</v>
      </c>
      <c r="G119" s="7" t="str">
        <f t="shared" si="2"/>
        <v>117538140003@r6-1.deped.gov.ph</v>
      </c>
      <c r="H119" s="8" t="str">
        <f t="shared" si="3"/>
        <v>caresma,302733</v>
      </c>
      <c r="I119" t="s">
        <v>14</v>
      </c>
    </row>
    <row r="120" spans="1:9" ht="12.75">
      <c r="A120" s="2">
        <v>117</v>
      </c>
      <c r="B120" s="7" t="s">
        <v>2407</v>
      </c>
      <c r="C120" s="7" t="s">
        <v>2418</v>
      </c>
      <c r="D120" s="7" t="s">
        <v>2419</v>
      </c>
      <c r="E120" s="8" t="s">
        <v>245</v>
      </c>
      <c r="F120" s="8">
        <v>108482150372</v>
      </c>
      <c r="G120" s="7" t="str">
        <f t="shared" si="2"/>
        <v>108482150372@r6-1.deped.gov.ph</v>
      </c>
      <c r="H120" s="8" t="str">
        <f t="shared" si="3"/>
        <v>dosdos,302733</v>
      </c>
      <c r="I120" t="s">
        <v>14</v>
      </c>
    </row>
    <row r="121" spans="1:9" ht="12.75">
      <c r="A121" s="2">
        <v>118</v>
      </c>
      <c r="B121" s="7" t="s">
        <v>2407</v>
      </c>
      <c r="C121" s="7" t="s">
        <v>2420</v>
      </c>
      <c r="D121" s="7" t="s">
        <v>2421</v>
      </c>
      <c r="E121" s="8" t="s">
        <v>252</v>
      </c>
      <c r="F121" s="8">
        <v>117572160083</v>
      </c>
      <c r="G121" s="7" t="str">
        <f t="shared" si="2"/>
        <v>117572160083@r6-1.deped.gov.ph</v>
      </c>
      <c r="H121" s="8" t="str">
        <f t="shared" si="3"/>
        <v>garcia,302733</v>
      </c>
      <c r="I121" t="s">
        <v>14</v>
      </c>
    </row>
    <row r="122" spans="1:9" ht="12.75">
      <c r="A122" s="2">
        <v>119</v>
      </c>
      <c r="B122" s="7" t="s">
        <v>2407</v>
      </c>
      <c r="C122" s="7" t="s">
        <v>383</v>
      </c>
      <c r="D122" s="7" t="s">
        <v>2250</v>
      </c>
      <c r="E122" s="8" t="s">
        <v>263</v>
      </c>
      <c r="F122" s="8">
        <v>117541140037</v>
      </c>
      <c r="G122" s="7" t="str">
        <f t="shared" si="2"/>
        <v>117541140037@r6-1.deped.gov.ph</v>
      </c>
      <c r="H122" s="8" t="str">
        <f t="shared" si="3"/>
        <v>gonzales,302733</v>
      </c>
      <c r="I122" t="s">
        <v>14</v>
      </c>
    </row>
    <row r="123" spans="1:9" ht="12.75">
      <c r="A123" s="2">
        <v>120</v>
      </c>
      <c r="B123" s="7" t="s">
        <v>2407</v>
      </c>
      <c r="C123" s="7" t="s">
        <v>2422</v>
      </c>
      <c r="D123" s="7" t="s">
        <v>2423</v>
      </c>
      <c r="E123" s="8" t="s">
        <v>268</v>
      </c>
      <c r="F123" s="8">
        <v>119053130003</v>
      </c>
      <c r="G123" s="7" t="str">
        <f t="shared" si="2"/>
        <v>119053130003@r6-1.deped.gov.ph</v>
      </c>
      <c r="H123" s="8" t="str">
        <f t="shared" si="3"/>
        <v>lobo,302733</v>
      </c>
      <c r="I123" t="s">
        <v>14</v>
      </c>
    </row>
    <row r="124" spans="1:9" ht="12.75">
      <c r="A124" s="2">
        <v>121</v>
      </c>
      <c r="B124" s="7" t="s">
        <v>2407</v>
      </c>
      <c r="C124" s="7" t="s">
        <v>2424</v>
      </c>
      <c r="D124" s="7" t="s">
        <v>2425</v>
      </c>
      <c r="E124" s="8" t="s">
        <v>245</v>
      </c>
      <c r="F124" s="8">
        <v>136882160222</v>
      </c>
      <c r="G124" s="7" t="str">
        <f t="shared" si="2"/>
        <v>136882160222@r6-1.deped.gov.ph</v>
      </c>
      <c r="H124" s="8" t="str">
        <f t="shared" si="3"/>
        <v>meridor,302733</v>
      </c>
      <c r="I124" t="s">
        <v>14</v>
      </c>
    </row>
    <row r="125" spans="1:9" ht="12.75">
      <c r="A125" s="2">
        <v>122</v>
      </c>
      <c r="B125" s="7" t="s">
        <v>2407</v>
      </c>
      <c r="C125" s="7" t="s">
        <v>2426</v>
      </c>
      <c r="D125" s="7" t="s">
        <v>2427</v>
      </c>
      <c r="E125" s="8" t="s">
        <v>268</v>
      </c>
      <c r="F125" s="8">
        <v>117541140092</v>
      </c>
      <c r="G125" s="7" t="str">
        <f t="shared" si="2"/>
        <v>117541140092@r6-1.deped.gov.ph</v>
      </c>
      <c r="H125" s="8" t="str">
        <f t="shared" si="3"/>
        <v>moradas,302733</v>
      </c>
      <c r="I125" t="s">
        <v>14</v>
      </c>
    </row>
    <row r="126" spans="1:9" ht="12.75">
      <c r="A126" s="2">
        <v>123</v>
      </c>
      <c r="B126" s="7" t="s">
        <v>2407</v>
      </c>
      <c r="C126" s="7" t="s">
        <v>2426</v>
      </c>
      <c r="D126" s="7" t="s">
        <v>2428</v>
      </c>
      <c r="E126" s="8" t="s">
        <v>739</v>
      </c>
      <c r="F126" s="8">
        <v>117541130039</v>
      </c>
      <c r="G126" s="7" t="str">
        <f t="shared" si="2"/>
        <v>117541130039@r6-1.deped.gov.ph</v>
      </c>
      <c r="H126" s="8" t="str">
        <f t="shared" si="3"/>
        <v>moradas,302733</v>
      </c>
      <c r="I126" t="s">
        <v>14</v>
      </c>
    </row>
    <row r="127" spans="1:9" ht="12.75">
      <c r="A127" s="2">
        <v>124</v>
      </c>
      <c r="B127" s="7" t="s">
        <v>2407</v>
      </c>
      <c r="C127" s="7" t="s">
        <v>2429</v>
      </c>
      <c r="D127" s="7" t="s">
        <v>2430</v>
      </c>
      <c r="E127" s="8" t="s">
        <v>268</v>
      </c>
      <c r="F127" s="8">
        <v>117546150054</v>
      </c>
      <c r="G127" s="7" t="str">
        <f t="shared" si="2"/>
        <v>117546150054@r6-1.deped.gov.ph</v>
      </c>
      <c r="H127" s="8" t="str">
        <f t="shared" si="3"/>
        <v>panonce,302733</v>
      </c>
      <c r="I127" t="s">
        <v>14</v>
      </c>
    </row>
    <row r="128" spans="1:9" ht="12.75">
      <c r="A128" s="2">
        <v>125</v>
      </c>
      <c r="B128" s="7" t="s">
        <v>2407</v>
      </c>
      <c r="C128" s="7" t="s">
        <v>2096</v>
      </c>
      <c r="D128" s="7" t="s">
        <v>2431</v>
      </c>
      <c r="E128" s="8" t="s">
        <v>281</v>
      </c>
      <c r="F128" s="8">
        <v>117538150005</v>
      </c>
      <c r="G128" s="7" t="str">
        <f t="shared" si="2"/>
        <v>117538150005@r6-1.deped.gov.ph</v>
      </c>
      <c r="H128" s="8" t="str">
        <f t="shared" si="3"/>
        <v>pasilan,302733</v>
      </c>
      <c r="I128" t="s">
        <v>14</v>
      </c>
    </row>
    <row r="129" spans="1:9" ht="12.75">
      <c r="A129" s="2">
        <v>126</v>
      </c>
      <c r="B129" s="7" t="s">
        <v>2407</v>
      </c>
      <c r="C129" s="7" t="s">
        <v>2432</v>
      </c>
      <c r="D129" s="7" t="s">
        <v>2433</v>
      </c>
      <c r="E129" s="8" t="s">
        <v>361</v>
      </c>
      <c r="F129" s="8">
        <v>117541150045</v>
      </c>
      <c r="G129" s="7" t="str">
        <f t="shared" si="2"/>
        <v>117541150045@r6-1.deped.gov.ph</v>
      </c>
      <c r="H129" s="8" t="str">
        <f t="shared" si="3"/>
        <v>plaza,302733</v>
      </c>
      <c r="I129" t="s">
        <v>14</v>
      </c>
    </row>
    <row r="130" spans="1:9" ht="12.75">
      <c r="A130" s="2">
        <v>127</v>
      </c>
      <c r="B130" s="7" t="s">
        <v>2407</v>
      </c>
      <c r="C130" s="7" t="s">
        <v>2434</v>
      </c>
      <c r="D130" s="7" t="s">
        <v>2435</v>
      </c>
      <c r="E130" s="8" t="s">
        <v>309</v>
      </c>
      <c r="F130" s="8">
        <v>117541150013</v>
      </c>
      <c r="G130" s="7" t="str">
        <f t="shared" si="2"/>
        <v>117541150013@r6-1.deped.gov.ph</v>
      </c>
      <c r="H130" s="8" t="str">
        <f t="shared" si="3"/>
        <v>serales,302733</v>
      </c>
      <c r="I130" t="s">
        <v>14</v>
      </c>
    </row>
    <row r="131" spans="1:9" ht="12.75">
      <c r="A131" s="2">
        <v>128</v>
      </c>
      <c r="B131" s="7" t="s">
        <v>2407</v>
      </c>
      <c r="C131" s="7" t="s">
        <v>837</v>
      </c>
      <c r="D131" s="7" t="s">
        <v>48</v>
      </c>
      <c r="E131" s="8" t="s">
        <v>239</v>
      </c>
      <c r="F131" s="8">
        <v>117538140018</v>
      </c>
      <c r="G131" s="7" t="str">
        <f t="shared" si="2"/>
        <v>117538140018@r6-1.deped.gov.ph</v>
      </c>
      <c r="H131" s="8" t="str">
        <f t="shared" si="3"/>
        <v>villas,302733</v>
      </c>
      <c r="I131" t="s">
        <v>14</v>
      </c>
    </row>
    <row r="132" spans="1:9" ht="12.75">
      <c r="A132" s="2">
        <v>129</v>
      </c>
      <c r="B132" s="7" t="s">
        <v>2407</v>
      </c>
      <c r="C132" s="7" t="s">
        <v>492</v>
      </c>
      <c r="D132" s="7" t="s">
        <v>2436</v>
      </c>
      <c r="E132" s="8" t="s">
        <v>231</v>
      </c>
      <c r="F132" s="8">
        <v>117562150100</v>
      </c>
      <c r="G132" s="7" t="str">
        <f t="shared" ref="G132:G186" si="4">IF(F132="","",F132&amp;"@r6-1.deped.gov.ph")</f>
        <v>117562150100@r6-1.deped.gov.ph</v>
      </c>
      <c r="H132" s="8" t="str">
        <f t="shared" ref="H132:H186" si="5">IF(C132="","",LOWER(C132)&amp;",302733")</f>
        <v>villegas,302733</v>
      </c>
      <c r="I132" t="s">
        <v>14</v>
      </c>
    </row>
    <row r="133" spans="1:9" ht="12.75">
      <c r="A133" s="2">
        <v>130</v>
      </c>
      <c r="B133" s="7" t="s">
        <v>2407</v>
      </c>
      <c r="C133" s="7" t="s">
        <v>232</v>
      </c>
      <c r="D133" s="7" t="s">
        <v>2437</v>
      </c>
      <c r="E133" s="8" t="s">
        <v>239</v>
      </c>
      <c r="F133" s="8">
        <v>117541150086</v>
      </c>
      <c r="G133" s="7" t="str">
        <f t="shared" si="4"/>
        <v>117541150086@r6-1.deped.gov.ph</v>
      </c>
      <c r="H133" s="8" t="str">
        <f t="shared" si="5"/>
        <v>abello,302733</v>
      </c>
      <c r="I133" t="s">
        <v>14</v>
      </c>
    </row>
    <row r="134" spans="1:9" ht="12.75">
      <c r="A134" s="2">
        <v>131</v>
      </c>
      <c r="B134" s="7" t="s">
        <v>2407</v>
      </c>
      <c r="C134" s="7" t="s">
        <v>1223</v>
      </c>
      <c r="D134" s="7" t="s">
        <v>2438</v>
      </c>
      <c r="E134" s="8" t="s">
        <v>231</v>
      </c>
      <c r="F134" s="8">
        <v>117536150069</v>
      </c>
      <c r="G134" s="7" t="str">
        <f t="shared" si="4"/>
        <v>117536150069@r6-1.deped.gov.ph</v>
      </c>
      <c r="H134" s="8" t="str">
        <f t="shared" si="5"/>
        <v>alob,302733</v>
      </c>
      <c r="I134" t="s">
        <v>14</v>
      </c>
    </row>
    <row r="135" spans="1:9" ht="12.75">
      <c r="A135" s="2">
        <v>132</v>
      </c>
      <c r="B135" s="7" t="s">
        <v>2407</v>
      </c>
      <c r="C135" s="7" t="s">
        <v>2439</v>
      </c>
      <c r="D135" s="7" t="s">
        <v>2440</v>
      </c>
      <c r="E135" s="8" t="s">
        <v>239</v>
      </c>
      <c r="F135" s="8">
        <v>117541150016</v>
      </c>
      <c r="G135" s="7" t="str">
        <f t="shared" si="4"/>
        <v>117541150016@r6-1.deped.gov.ph</v>
      </c>
      <c r="H135" s="8" t="str">
        <f t="shared" si="5"/>
        <v>bastida,302733</v>
      </c>
      <c r="I135" t="s">
        <v>14</v>
      </c>
    </row>
    <row r="136" spans="1:9" ht="12.75">
      <c r="A136" s="2">
        <v>133</v>
      </c>
      <c r="B136" s="7" t="s">
        <v>2407</v>
      </c>
      <c r="C136" s="7" t="s">
        <v>2270</v>
      </c>
      <c r="D136" s="7" t="s">
        <v>2441</v>
      </c>
      <c r="E136" s="8" t="s">
        <v>268</v>
      </c>
      <c r="F136" s="8">
        <v>117537140017</v>
      </c>
      <c r="G136" s="7" t="str">
        <f t="shared" si="4"/>
        <v>117537140017@r6-1.deped.gov.ph</v>
      </c>
      <c r="H136" s="8" t="str">
        <f t="shared" si="5"/>
        <v>batayen,302733</v>
      </c>
      <c r="I136" t="s">
        <v>14</v>
      </c>
    </row>
    <row r="137" spans="1:9" ht="12.75">
      <c r="A137" s="2">
        <v>134</v>
      </c>
      <c r="B137" s="7" t="s">
        <v>2407</v>
      </c>
      <c r="C137" s="7" t="s">
        <v>136</v>
      </c>
      <c r="D137" s="7" t="s">
        <v>2442</v>
      </c>
      <c r="E137" s="8" t="s">
        <v>294</v>
      </c>
      <c r="F137" s="8">
        <v>117541150067</v>
      </c>
      <c r="G137" s="7" t="str">
        <f t="shared" si="4"/>
        <v>117541150067@r6-1.deped.gov.ph</v>
      </c>
      <c r="H137" s="8" t="str">
        <f t="shared" si="5"/>
        <v>caballero,302733</v>
      </c>
      <c r="I137" t="s">
        <v>14</v>
      </c>
    </row>
    <row r="138" spans="1:9" ht="12.75">
      <c r="A138" s="2">
        <v>135</v>
      </c>
      <c r="B138" s="7" t="s">
        <v>2407</v>
      </c>
      <c r="C138" s="7" t="s">
        <v>2443</v>
      </c>
      <c r="D138" s="7" t="s">
        <v>2391</v>
      </c>
      <c r="E138" s="8" t="s">
        <v>239</v>
      </c>
      <c r="F138" s="8">
        <v>117541140076</v>
      </c>
      <c r="G138" s="7" t="str">
        <f t="shared" si="4"/>
        <v>117541140076@r6-1.deped.gov.ph</v>
      </c>
      <c r="H138" s="8" t="str">
        <f t="shared" si="5"/>
        <v>caramelo,302733</v>
      </c>
      <c r="I138" t="s">
        <v>14</v>
      </c>
    </row>
    <row r="139" spans="1:9" ht="12.75">
      <c r="A139" s="2">
        <v>136</v>
      </c>
      <c r="B139" s="7" t="s">
        <v>2407</v>
      </c>
      <c r="C139" s="7" t="s">
        <v>2444</v>
      </c>
      <c r="D139" s="7" t="s">
        <v>2445</v>
      </c>
      <c r="E139" s="8" t="s">
        <v>242</v>
      </c>
      <c r="F139" s="8">
        <v>117541150021</v>
      </c>
      <c r="G139" s="7" t="str">
        <f t="shared" si="4"/>
        <v>117541150021@r6-1.deped.gov.ph</v>
      </c>
      <c r="H139" s="8" t="str">
        <f t="shared" si="5"/>
        <v>condes,302733</v>
      </c>
      <c r="I139" t="s">
        <v>14</v>
      </c>
    </row>
    <row r="140" spans="1:9" ht="12.75">
      <c r="A140" s="2">
        <v>137</v>
      </c>
      <c r="B140" s="7" t="s">
        <v>2407</v>
      </c>
      <c r="C140" s="7" t="s">
        <v>2446</v>
      </c>
      <c r="D140" s="7" t="s">
        <v>1840</v>
      </c>
      <c r="E140" s="8" t="s">
        <v>263</v>
      </c>
      <c r="F140" s="8">
        <v>117546150209</v>
      </c>
      <c r="G140" s="7" t="str">
        <f t="shared" si="4"/>
        <v>117546150209@r6-1.deped.gov.ph</v>
      </c>
      <c r="H140" s="8" t="str">
        <f t="shared" si="5"/>
        <v>cordova,302733</v>
      </c>
      <c r="I140" t="s">
        <v>14</v>
      </c>
    </row>
    <row r="141" spans="1:9" ht="12.75">
      <c r="A141" s="2">
        <v>138</v>
      </c>
      <c r="B141" s="7" t="s">
        <v>2407</v>
      </c>
      <c r="C141" s="7" t="s">
        <v>2447</v>
      </c>
      <c r="D141" s="7" t="s">
        <v>816</v>
      </c>
      <c r="E141" s="8" t="s">
        <v>294</v>
      </c>
      <c r="F141" s="8">
        <v>117541150024</v>
      </c>
      <c r="G141" s="7" t="str">
        <f t="shared" si="4"/>
        <v>117541150024@r6-1.deped.gov.ph</v>
      </c>
      <c r="H141" s="8" t="str">
        <f t="shared" si="5"/>
        <v>doronila,302733</v>
      </c>
      <c r="I141" t="s">
        <v>14</v>
      </c>
    </row>
    <row r="142" spans="1:9" ht="12.75">
      <c r="A142" s="2">
        <v>139</v>
      </c>
      <c r="B142" s="7" t="s">
        <v>2407</v>
      </c>
      <c r="C142" s="7" t="s">
        <v>2448</v>
      </c>
      <c r="D142" s="7" t="s">
        <v>214</v>
      </c>
      <c r="E142" s="8" t="s">
        <v>257</v>
      </c>
      <c r="F142" s="8">
        <v>117537150016</v>
      </c>
      <c r="G142" s="7" t="str">
        <f t="shared" si="4"/>
        <v>117537150016@r6-1.deped.gov.ph</v>
      </c>
      <c r="H142" s="8" t="str">
        <f t="shared" si="5"/>
        <v>jagonob,302733</v>
      </c>
      <c r="I142" t="s">
        <v>14</v>
      </c>
    </row>
    <row r="143" spans="1:9" ht="12.75">
      <c r="A143" s="2">
        <v>140</v>
      </c>
      <c r="B143" s="7" t="s">
        <v>2407</v>
      </c>
      <c r="C143" s="7" t="s">
        <v>2386</v>
      </c>
      <c r="D143" s="7" t="s">
        <v>2449</v>
      </c>
      <c r="E143" s="8" t="s">
        <v>245</v>
      </c>
      <c r="F143" s="8">
        <v>117541150027</v>
      </c>
      <c r="G143" s="7" t="str">
        <f t="shared" si="4"/>
        <v>117541150027@r6-1.deped.gov.ph</v>
      </c>
      <c r="H143" s="8" t="str">
        <f t="shared" si="5"/>
        <v>jaravelo,302733</v>
      </c>
      <c r="I143" t="s">
        <v>14</v>
      </c>
    </row>
    <row r="144" spans="1:9" ht="12.75">
      <c r="A144" s="2">
        <v>141</v>
      </c>
      <c r="B144" s="7" t="s">
        <v>2407</v>
      </c>
      <c r="C144" s="7" t="s">
        <v>2450</v>
      </c>
      <c r="D144" s="7" t="s">
        <v>2451</v>
      </c>
      <c r="E144" s="8" t="s">
        <v>263</v>
      </c>
      <c r="F144" s="8">
        <v>117537150019</v>
      </c>
      <c r="G144" s="7" t="str">
        <f t="shared" si="4"/>
        <v>117537150019@r6-1.deped.gov.ph</v>
      </c>
      <c r="H144" s="8" t="str">
        <f t="shared" si="5"/>
        <v>saldo,302733</v>
      </c>
      <c r="I144" t="s">
        <v>14</v>
      </c>
    </row>
    <row r="145" spans="1:9" ht="12.75">
      <c r="A145" s="2">
        <v>142</v>
      </c>
      <c r="B145" s="7" t="s">
        <v>2407</v>
      </c>
      <c r="C145" s="7" t="s">
        <v>2452</v>
      </c>
      <c r="D145" s="7" t="s">
        <v>137</v>
      </c>
      <c r="E145" s="8" t="s">
        <v>294</v>
      </c>
      <c r="F145" s="8">
        <v>117537150042</v>
      </c>
      <c r="G145" s="7" t="str">
        <f t="shared" si="4"/>
        <v>117537150042@r6-1.deped.gov.ph</v>
      </c>
      <c r="H145" s="8" t="str">
        <f t="shared" si="5"/>
        <v>siosan,302733</v>
      </c>
      <c r="I145" t="s">
        <v>14</v>
      </c>
    </row>
    <row r="146" spans="1:9" ht="12.75">
      <c r="A146" s="2">
        <v>143</v>
      </c>
      <c r="B146" s="7" t="s">
        <v>2407</v>
      </c>
      <c r="C146" s="7" t="s">
        <v>2453</v>
      </c>
      <c r="D146" s="7" t="s">
        <v>2454</v>
      </c>
      <c r="E146" s="8" t="s">
        <v>252</v>
      </c>
      <c r="F146" s="8">
        <v>117541150034</v>
      </c>
      <c r="G146" s="7" t="str">
        <f t="shared" si="4"/>
        <v>117541150034@r6-1.deped.gov.ph</v>
      </c>
      <c r="H146" s="8" t="str">
        <f t="shared" si="5"/>
        <v>tesora,302733</v>
      </c>
      <c r="I146" t="s">
        <v>14</v>
      </c>
    </row>
    <row r="147" spans="1:9" ht="12.75">
      <c r="A147" s="2">
        <v>144</v>
      </c>
      <c r="B147" s="7" t="s">
        <v>2407</v>
      </c>
      <c r="C147" s="7" t="s">
        <v>2455</v>
      </c>
      <c r="D147" s="7" t="s">
        <v>2456</v>
      </c>
      <c r="E147" s="8" t="s">
        <v>263</v>
      </c>
      <c r="F147" s="8">
        <v>117541150080</v>
      </c>
      <c r="G147" s="7" t="str">
        <f t="shared" si="4"/>
        <v>117541150080@r6-1.deped.gov.ph</v>
      </c>
      <c r="H147" s="8" t="str">
        <f t="shared" si="5"/>
        <v>vaflor,302733</v>
      </c>
      <c r="I147" t="s">
        <v>14</v>
      </c>
    </row>
    <row r="148" spans="1:9" ht="12.75">
      <c r="A148" s="2">
        <v>145</v>
      </c>
      <c r="B148" s="7" t="s">
        <v>2407</v>
      </c>
      <c r="C148" s="7" t="s">
        <v>2457</v>
      </c>
      <c r="D148" s="7" t="s">
        <v>2458</v>
      </c>
      <c r="E148" s="8" t="s">
        <v>294</v>
      </c>
      <c r="F148" s="8">
        <v>117541150103</v>
      </c>
      <c r="G148" s="7" t="str">
        <f t="shared" si="4"/>
        <v>117541150103@r6-1.deped.gov.ph</v>
      </c>
      <c r="H148" s="8" t="str">
        <f t="shared" si="5"/>
        <v>villaceran,302733</v>
      </c>
      <c r="I148" t="s">
        <v>14</v>
      </c>
    </row>
    <row r="149" spans="1:9" ht="12.75">
      <c r="A149" s="2">
        <v>146</v>
      </c>
      <c r="B149" s="7" t="s">
        <v>2459</v>
      </c>
      <c r="C149" s="7" t="s">
        <v>2460</v>
      </c>
      <c r="D149" s="7" t="s">
        <v>2209</v>
      </c>
      <c r="E149" s="8" t="s">
        <v>281</v>
      </c>
      <c r="F149" s="8">
        <v>117536150043</v>
      </c>
      <c r="G149" s="7" t="str">
        <f t="shared" si="4"/>
        <v>117536150043@r6-1.deped.gov.ph</v>
      </c>
      <c r="H149" s="8" t="str">
        <f t="shared" si="5"/>
        <v>agupasa,302733</v>
      </c>
      <c r="I149" t="s">
        <v>14</v>
      </c>
    </row>
    <row r="150" spans="1:9" ht="12.75">
      <c r="A150" s="2">
        <v>147</v>
      </c>
      <c r="B150" s="7" t="s">
        <v>2459</v>
      </c>
      <c r="C150" s="7" t="s">
        <v>2461</v>
      </c>
      <c r="D150" s="7" t="s">
        <v>2462</v>
      </c>
      <c r="E150" s="8" t="s">
        <v>231</v>
      </c>
      <c r="F150" s="8">
        <v>117541150004</v>
      </c>
      <c r="G150" s="7" t="str">
        <f t="shared" si="4"/>
        <v>117541150004@r6-1.deped.gov.ph</v>
      </c>
      <c r="H150" s="8" t="str">
        <f t="shared" si="5"/>
        <v>alontaga,302733</v>
      </c>
      <c r="I150" t="s">
        <v>14</v>
      </c>
    </row>
    <row r="151" spans="1:9" ht="12.75">
      <c r="A151" s="2">
        <v>148</v>
      </c>
      <c r="B151" s="7" t="s">
        <v>2459</v>
      </c>
      <c r="C151" s="7" t="s">
        <v>2463</v>
      </c>
      <c r="D151" s="7" t="s">
        <v>1759</v>
      </c>
      <c r="E151" s="8" t="s">
        <v>263</v>
      </c>
      <c r="F151" s="8">
        <v>117536150029</v>
      </c>
      <c r="G151" s="7" t="str">
        <f t="shared" si="4"/>
        <v>117536150029@r6-1.deped.gov.ph</v>
      </c>
      <c r="H151" s="8" t="str">
        <f t="shared" si="5"/>
        <v>arana,302733</v>
      </c>
      <c r="I151" t="s">
        <v>14</v>
      </c>
    </row>
    <row r="152" spans="1:9" ht="12.75">
      <c r="A152" s="2">
        <v>149</v>
      </c>
      <c r="B152" s="7" t="s">
        <v>2459</v>
      </c>
      <c r="C152" s="7" t="s">
        <v>2268</v>
      </c>
      <c r="D152" s="7" t="s">
        <v>2464</v>
      </c>
      <c r="E152" s="8" t="s">
        <v>252</v>
      </c>
      <c r="F152" s="8">
        <v>117453150023</v>
      </c>
      <c r="G152" s="7" t="str">
        <f t="shared" si="4"/>
        <v>117453150023@r6-1.deped.gov.ph</v>
      </c>
      <c r="H152" s="8" t="str">
        <f t="shared" si="5"/>
        <v>bacharo,302733</v>
      </c>
      <c r="I152" t="s">
        <v>14</v>
      </c>
    </row>
    <row r="153" spans="1:9" ht="12.75">
      <c r="A153" s="2">
        <v>150</v>
      </c>
      <c r="B153" s="7" t="s">
        <v>2459</v>
      </c>
      <c r="C153" s="7" t="s">
        <v>2465</v>
      </c>
      <c r="D153" s="7" t="s">
        <v>2466</v>
      </c>
      <c r="E153" s="8" t="s">
        <v>231</v>
      </c>
      <c r="F153" s="8">
        <v>117541150082</v>
      </c>
      <c r="G153" s="7" t="str">
        <f t="shared" si="4"/>
        <v>117541150082@r6-1.deped.gov.ph</v>
      </c>
      <c r="H153" s="8" t="str">
        <f t="shared" si="5"/>
        <v>bansag,302733</v>
      </c>
      <c r="I153" t="s">
        <v>14</v>
      </c>
    </row>
    <row r="154" spans="1:9" ht="12.75">
      <c r="A154" s="2">
        <v>151</v>
      </c>
      <c r="B154" s="7" t="s">
        <v>2459</v>
      </c>
      <c r="C154" s="7" t="s">
        <v>2467</v>
      </c>
      <c r="D154" s="7" t="s">
        <v>2250</v>
      </c>
      <c r="E154" s="8" t="s">
        <v>252</v>
      </c>
      <c r="F154" s="8">
        <v>117541150001</v>
      </c>
      <c r="G154" s="7" t="str">
        <f t="shared" si="4"/>
        <v>117541150001@r6-1.deped.gov.ph</v>
      </c>
      <c r="H154" s="8" t="str">
        <f t="shared" si="5"/>
        <v>baylon,302733</v>
      </c>
      <c r="I154" t="s">
        <v>14</v>
      </c>
    </row>
    <row r="155" spans="1:9" ht="12.75">
      <c r="A155" s="2">
        <v>152</v>
      </c>
      <c r="B155" s="7" t="s">
        <v>2459</v>
      </c>
      <c r="C155" s="7" t="s">
        <v>2306</v>
      </c>
      <c r="D155" s="7" t="s">
        <v>2468</v>
      </c>
      <c r="E155" s="8" t="s">
        <v>309</v>
      </c>
      <c r="F155" s="8">
        <v>117541150008</v>
      </c>
      <c r="G155" s="7" t="str">
        <f t="shared" si="4"/>
        <v>117541150008@r6-1.deped.gov.ph</v>
      </c>
      <c r="H155" s="8" t="str">
        <f t="shared" si="5"/>
        <v>castroverde,302733</v>
      </c>
      <c r="I155" t="s">
        <v>14</v>
      </c>
    </row>
    <row r="156" spans="1:9" ht="12.75">
      <c r="A156" s="2">
        <v>153</v>
      </c>
      <c r="B156" s="7" t="s">
        <v>2459</v>
      </c>
      <c r="C156" s="7" t="s">
        <v>2469</v>
      </c>
      <c r="D156" s="7" t="s">
        <v>879</v>
      </c>
      <c r="E156" s="8" t="s">
        <v>281</v>
      </c>
      <c r="F156" s="8">
        <v>117535150004</v>
      </c>
      <c r="G156" s="7" t="str">
        <f t="shared" si="4"/>
        <v>117535150004@r6-1.deped.gov.ph</v>
      </c>
      <c r="H156" s="8" t="str">
        <f t="shared" si="5"/>
        <v>colaljo,302733</v>
      </c>
      <c r="I156" t="s">
        <v>14</v>
      </c>
    </row>
    <row r="157" spans="1:9" ht="12.75">
      <c r="A157" s="2">
        <v>154</v>
      </c>
      <c r="B157" s="7" t="s">
        <v>2459</v>
      </c>
      <c r="C157" s="7" t="s">
        <v>2470</v>
      </c>
      <c r="D157" s="7" t="s">
        <v>2471</v>
      </c>
      <c r="E157" s="8" t="s">
        <v>268</v>
      </c>
      <c r="F157" s="8">
        <v>117537140014</v>
      </c>
      <c r="G157" s="7" t="str">
        <f t="shared" si="4"/>
        <v>117537140014@r6-1.deped.gov.ph</v>
      </c>
      <c r="H157" s="8" t="str">
        <f t="shared" si="5"/>
        <v>delante,302733</v>
      </c>
      <c r="I157" t="s">
        <v>14</v>
      </c>
    </row>
    <row r="158" spans="1:9" ht="12.75">
      <c r="A158" s="2">
        <v>155</v>
      </c>
      <c r="B158" s="7" t="s">
        <v>2459</v>
      </c>
      <c r="C158" s="7" t="s">
        <v>2472</v>
      </c>
      <c r="D158" s="7" t="s">
        <v>1346</v>
      </c>
      <c r="E158" s="8" t="s">
        <v>294</v>
      </c>
      <c r="F158" s="8">
        <v>116785150017</v>
      </c>
      <c r="G158" s="7" t="str">
        <f t="shared" si="4"/>
        <v>116785150017@r6-1.deped.gov.ph</v>
      </c>
      <c r="H158" s="8" t="str">
        <f t="shared" si="5"/>
        <v>descalso,302733</v>
      </c>
      <c r="I158" t="s">
        <v>14</v>
      </c>
    </row>
    <row r="159" spans="1:9" ht="12.75">
      <c r="A159" s="2">
        <v>156</v>
      </c>
      <c r="B159" s="7" t="s">
        <v>2459</v>
      </c>
      <c r="C159" s="7" t="s">
        <v>2473</v>
      </c>
      <c r="D159" s="7" t="s">
        <v>2474</v>
      </c>
      <c r="E159" s="8" t="s">
        <v>231</v>
      </c>
      <c r="F159" s="8">
        <v>116352110038</v>
      </c>
      <c r="G159" s="7" t="str">
        <f t="shared" si="4"/>
        <v>116352110038@r6-1.deped.gov.ph</v>
      </c>
      <c r="H159" s="8" t="str">
        <f t="shared" si="5"/>
        <v>henerato,302733</v>
      </c>
      <c r="I159" t="s">
        <v>14</v>
      </c>
    </row>
    <row r="160" spans="1:9" ht="12.75">
      <c r="A160" s="2">
        <v>157</v>
      </c>
      <c r="B160" s="7" t="s">
        <v>2459</v>
      </c>
      <c r="C160" s="7" t="s">
        <v>818</v>
      </c>
      <c r="D160" s="7" t="s">
        <v>1201</v>
      </c>
      <c r="E160" s="8" t="s">
        <v>320</v>
      </c>
      <c r="F160" s="8">
        <v>117541150029</v>
      </c>
      <c r="G160" s="7" t="str">
        <f t="shared" si="4"/>
        <v>117541150029@r6-1.deped.gov.ph</v>
      </c>
      <c r="H160" s="8" t="str">
        <f t="shared" si="5"/>
        <v>javier,302733</v>
      </c>
      <c r="I160" t="s">
        <v>14</v>
      </c>
    </row>
    <row r="161" spans="1:9" ht="12.75">
      <c r="A161" s="2">
        <v>158</v>
      </c>
      <c r="B161" s="7" t="s">
        <v>2459</v>
      </c>
      <c r="C161" s="7" t="s">
        <v>2131</v>
      </c>
      <c r="D161" s="7" t="s">
        <v>2475</v>
      </c>
      <c r="E161" s="8" t="s">
        <v>239</v>
      </c>
      <c r="F161" s="8">
        <v>117541150009</v>
      </c>
      <c r="G161" s="7" t="str">
        <f t="shared" si="4"/>
        <v>117541150009@r6-1.deped.gov.ph</v>
      </c>
      <c r="H161" s="8" t="str">
        <f t="shared" si="5"/>
        <v>layson,302733</v>
      </c>
      <c r="I161" t="s">
        <v>14</v>
      </c>
    </row>
    <row r="162" spans="1:9" ht="12.75">
      <c r="A162" s="2">
        <v>159</v>
      </c>
      <c r="B162" s="7" t="s">
        <v>2459</v>
      </c>
      <c r="C162" s="7" t="s">
        <v>2476</v>
      </c>
      <c r="D162" s="7" t="s">
        <v>2477</v>
      </c>
      <c r="E162" s="8" t="s">
        <v>242</v>
      </c>
      <c r="F162" s="8">
        <v>117541150081</v>
      </c>
      <c r="G162" s="7" t="str">
        <f t="shared" si="4"/>
        <v>117541150081@r6-1.deped.gov.ph</v>
      </c>
      <c r="H162" s="8" t="str">
        <f t="shared" si="5"/>
        <v>lim,302733</v>
      </c>
      <c r="I162" t="s">
        <v>14</v>
      </c>
    </row>
    <row r="163" spans="1:9" ht="12.75">
      <c r="A163" s="2">
        <v>160</v>
      </c>
      <c r="B163" s="7" t="s">
        <v>2459</v>
      </c>
      <c r="C163" s="7" t="s">
        <v>2478</v>
      </c>
      <c r="D163" s="7" t="s">
        <v>2479</v>
      </c>
      <c r="E163" s="8" t="s">
        <v>294</v>
      </c>
      <c r="F163" s="8">
        <v>116019140064</v>
      </c>
      <c r="G163" s="7" t="str">
        <f t="shared" si="4"/>
        <v>116019140064@r6-1.deped.gov.ph</v>
      </c>
      <c r="H163" s="8" t="str">
        <f t="shared" si="5"/>
        <v>manggasang,302733</v>
      </c>
      <c r="I163" t="s">
        <v>46</v>
      </c>
    </row>
    <row r="164" spans="1:9" ht="12.75">
      <c r="A164" s="2">
        <v>161</v>
      </c>
      <c r="B164" s="7" t="s">
        <v>2459</v>
      </c>
      <c r="C164" s="7" t="s">
        <v>2480</v>
      </c>
      <c r="D164" s="7" t="s">
        <v>454</v>
      </c>
      <c r="E164" s="8" t="s">
        <v>239</v>
      </c>
      <c r="F164" s="8">
        <v>117718140023</v>
      </c>
      <c r="G164" s="7" t="str">
        <f t="shared" si="4"/>
        <v>117718140023@r6-1.deped.gov.ph</v>
      </c>
      <c r="H164" s="8" t="str">
        <f t="shared" si="5"/>
        <v>mansueto,302733</v>
      </c>
      <c r="I164" t="s">
        <v>14</v>
      </c>
    </row>
    <row r="165" spans="1:9" ht="12.75">
      <c r="A165" s="2">
        <v>162</v>
      </c>
      <c r="B165" s="7" t="s">
        <v>2459</v>
      </c>
      <c r="C165" s="7" t="s">
        <v>2481</v>
      </c>
      <c r="D165" s="7" t="s">
        <v>249</v>
      </c>
      <c r="E165" s="8" t="s">
        <v>239</v>
      </c>
      <c r="F165" s="8">
        <v>117537150026</v>
      </c>
      <c r="G165" s="7" t="str">
        <f t="shared" si="4"/>
        <v>117537150026@r6-1.deped.gov.ph</v>
      </c>
      <c r="H165" s="8" t="str">
        <f t="shared" si="5"/>
        <v>metuda,302733</v>
      </c>
      <c r="I165" t="s">
        <v>14</v>
      </c>
    </row>
    <row r="166" spans="1:9" ht="12.75">
      <c r="A166" s="2">
        <v>163</v>
      </c>
      <c r="B166" s="7" t="s">
        <v>2459</v>
      </c>
      <c r="C166" s="7" t="s">
        <v>2482</v>
      </c>
      <c r="D166" s="7" t="s">
        <v>2483</v>
      </c>
      <c r="E166" s="8" t="s">
        <v>263</v>
      </c>
      <c r="F166" s="8">
        <v>117536150014</v>
      </c>
      <c r="G166" s="7" t="str">
        <f t="shared" si="4"/>
        <v>117536150014@r6-1.deped.gov.ph</v>
      </c>
      <c r="H166" s="8" t="str">
        <f t="shared" si="5"/>
        <v>montales,302733</v>
      </c>
      <c r="I166" t="s">
        <v>14</v>
      </c>
    </row>
    <row r="167" spans="1:9" ht="12.75">
      <c r="A167" s="2">
        <v>164</v>
      </c>
      <c r="B167" s="7" t="s">
        <v>2459</v>
      </c>
      <c r="C167" s="7" t="s">
        <v>2484</v>
      </c>
      <c r="D167" s="7" t="s">
        <v>2267</v>
      </c>
      <c r="E167" s="8" t="s">
        <v>255</v>
      </c>
      <c r="F167" s="8">
        <v>117435150129</v>
      </c>
      <c r="G167" s="7" t="str">
        <f t="shared" si="4"/>
        <v>117435150129@r6-1.deped.gov.ph</v>
      </c>
      <c r="H167" s="8" t="str">
        <f t="shared" si="5"/>
        <v>montarde,302733</v>
      </c>
      <c r="I167" t="s">
        <v>46</v>
      </c>
    </row>
    <row r="168" spans="1:9" ht="12.75">
      <c r="A168" s="2">
        <v>165</v>
      </c>
      <c r="B168" s="7" t="s">
        <v>2459</v>
      </c>
      <c r="C168" s="7" t="s">
        <v>1513</v>
      </c>
      <c r="D168" s="7" t="s">
        <v>2485</v>
      </c>
      <c r="E168" s="8" t="s">
        <v>239</v>
      </c>
      <c r="F168" s="8">
        <v>117536150016</v>
      </c>
      <c r="G168" s="7" t="str">
        <f t="shared" si="4"/>
        <v>117536150016@r6-1.deped.gov.ph</v>
      </c>
      <c r="H168" s="8" t="str">
        <f t="shared" si="5"/>
        <v>moreno,302733</v>
      </c>
      <c r="I168" t="s">
        <v>14</v>
      </c>
    </row>
    <row r="169" spans="1:9" ht="12.75">
      <c r="A169" s="2">
        <v>166</v>
      </c>
      <c r="B169" s="7" t="s">
        <v>2459</v>
      </c>
      <c r="C169" s="7" t="s">
        <v>2486</v>
      </c>
      <c r="D169" s="7" t="s">
        <v>50</v>
      </c>
      <c r="E169" s="8" t="s">
        <v>231</v>
      </c>
      <c r="F169" s="8">
        <v>117541130153</v>
      </c>
      <c r="G169" s="7" t="str">
        <f t="shared" si="4"/>
        <v>117541130153@r6-1.deped.gov.ph</v>
      </c>
      <c r="H169" s="8" t="str">
        <f t="shared" si="5"/>
        <v>ocura,302733</v>
      </c>
      <c r="I169" t="s">
        <v>14</v>
      </c>
    </row>
    <row r="170" spans="1:9" ht="12.75">
      <c r="A170" s="2">
        <v>167</v>
      </c>
      <c r="B170" s="7" t="s">
        <v>2459</v>
      </c>
      <c r="C170" s="7" t="s">
        <v>1850</v>
      </c>
      <c r="D170" s="7" t="s">
        <v>1292</v>
      </c>
      <c r="E170" s="8" t="s">
        <v>260</v>
      </c>
      <c r="F170" s="8">
        <v>117541150042</v>
      </c>
      <c r="G170" s="7" t="str">
        <f t="shared" si="4"/>
        <v>117541150042@r6-1.deped.gov.ph</v>
      </c>
      <c r="H170" s="8" t="str">
        <f t="shared" si="5"/>
        <v>olid,302733</v>
      </c>
      <c r="I170" t="s">
        <v>14</v>
      </c>
    </row>
    <row r="171" spans="1:9" ht="12.75">
      <c r="A171" s="2">
        <v>168</v>
      </c>
      <c r="B171" s="7" t="s">
        <v>2459</v>
      </c>
      <c r="C171" s="7" t="s">
        <v>2037</v>
      </c>
      <c r="D171" s="7" t="s">
        <v>2487</v>
      </c>
      <c r="E171" s="8" t="s">
        <v>231</v>
      </c>
      <c r="F171" s="8">
        <v>126219140583</v>
      </c>
      <c r="G171" s="7" t="str">
        <f t="shared" si="4"/>
        <v>126219140583@r6-1.deped.gov.ph</v>
      </c>
      <c r="H171" s="8" t="str">
        <f t="shared" si="5"/>
        <v>pabuaya,302733</v>
      </c>
      <c r="I171" t="s">
        <v>14</v>
      </c>
    </row>
    <row r="172" spans="1:9" ht="12.75">
      <c r="A172" s="2">
        <v>169</v>
      </c>
      <c r="B172" s="7" t="s">
        <v>2459</v>
      </c>
      <c r="C172" s="7" t="s">
        <v>116</v>
      </c>
      <c r="D172" s="7" t="s">
        <v>2488</v>
      </c>
      <c r="E172" s="8" t="s">
        <v>257</v>
      </c>
      <c r="F172" s="8">
        <v>117541150059</v>
      </c>
      <c r="G172" s="7" t="str">
        <f t="shared" si="4"/>
        <v>117541150059@r6-1.deped.gov.ph</v>
      </c>
      <c r="H172" s="8" t="str">
        <f t="shared" si="5"/>
        <v>planas,302733</v>
      </c>
      <c r="I172" t="s">
        <v>14</v>
      </c>
    </row>
    <row r="173" spans="1:9" ht="12.75">
      <c r="A173" s="2">
        <v>170</v>
      </c>
      <c r="B173" s="7" t="s">
        <v>2459</v>
      </c>
      <c r="C173" s="7" t="s">
        <v>953</v>
      </c>
      <c r="D173" s="7" t="s">
        <v>2489</v>
      </c>
      <c r="E173" s="8" t="s">
        <v>239</v>
      </c>
      <c r="F173" s="8">
        <v>117541150036</v>
      </c>
      <c r="G173" s="7" t="str">
        <f t="shared" si="4"/>
        <v>117541150036@r6-1.deped.gov.ph</v>
      </c>
      <c r="H173" s="8" t="str">
        <f t="shared" si="5"/>
        <v>ponce,302733</v>
      </c>
      <c r="I173" t="s">
        <v>14</v>
      </c>
    </row>
    <row r="174" spans="1:9" ht="12.75">
      <c r="A174" s="2">
        <v>171</v>
      </c>
      <c r="B174" s="7" t="s">
        <v>2459</v>
      </c>
      <c r="C174" s="7" t="s">
        <v>2490</v>
      </c>
      <c r="D174" s="7" t="s">
        <v>2491</v>
      </c>
      <c r="E174" s="8" t="s">
        <v>361</v>
      </c>
      <c r="F174" s="8">
        <v>117537140015</v>
      </c>
      <c r="G174" s="7" t="str">
        <f t="shared" si="4"/>
        <v>117537140015@r6-1.deped.gov.ph</v>
      </c>
      <c r="H174" s="8" t="str">
        <f t="shared" si="5"/>
        <v>rebadomia,302733</v>
      </c>
      <c r="I174" t="s">
        <v>14</v>
      </c>
    </row>
    <row r="175" spans="1:9" ht="12.75">
      <c r="A175" s="2">
        <v>172</v>
      </c>
      <c r="B175" s="7" t="s">
        <v>2459</v>
      </c>
      <c r="C175" s="7" t="s">
        <v>2492</v>
      </c>
      <c r="D175" s="7" t="s">
        <v>2493</v>
      </c>
      <c r="E175" s="8" t="s">
        <v>234</v>
      </c>
      <c r="F175" s="8">
        <v>126226120664</v>
      </c>
      <c r="G175" s="7" t="str">
        <f t="shared" si="4"/>
        <v>126226120664@r6-1.deped.gov.ph</v>
      </c>
      <c r="H175" s="8" t="str">
        <f t="shared" si="5"/>
        <v>romelo,302733</v>
      </c>
      <c r="I175" t="s">
        <v>14</v>
      </c>
    </row>
    <row r="176" spans="1:9" ht="12.75">
      <c r="A176" s="2">
        <v>173</v>
      </c>
      <c r="B176" s="7" t="s">
        <v>2459</v>
      </c>
      <c r="C176" s="7" t="s">
        <v>2494</v>
      </c>
      <c r="D176" s="7" t="s">
        <v>879</v>
      </c>
      <c r="E176" s="8" t="s">
        <v>252</v>
      </c>
      <c r="F176" s="8">
        <v>117537140037</v>
      </c>
      <c r="G176" s="7" t="str">
        <f t="shared" si="4"/>
        <v>117537140037@r6-1.deped.gov.ph</v>
      </c>
      <c r="H176" s="8" t="str">
        <f t="shared" si="5"/>
        <v>rosende,302733</v>
      </c>
      <c r="I176" t="s">
        <v>14</v>
      </c>
    </row>
    <row r="177" spans="1:9" ht="12.75">
      <c r="A177" s="2">
        <v>174</v>
      </c>
      <c r="B177" s="7" t="s">
        <v>2459</v>
      </c>
      <c r="C177" s="7" t="s">
        <v>2495</v>
      </c>
      <c r="D177" s="7" t="s">
        <v>2496</v>
      </c>
      <c r="E177" s="8" t="s">
        <v>252</v>
      </c>
      <c r="F177" s="8">
        <v>117718150022</v>
      </c>
      <c r="G177" s="7" t="str">
        <f t="shared" si="4"/>
        <v>117718150022@r6-1.deped.gov.ph</v>
      </c>
      <c r="H177" s="8" t="str">
        <f t="shared" si="5"/>
        <v>tunga,302733</v>
      </c>
      <c r="I177" t="s">
        <v>14</v>
      </c>
    </row>
    <row r="178" spans="1:9" ht="12.75">
      <c r="A178" s="2">
        <v>175</v>
      </c>
      <c r="B178" s="7" t="s">
        <v>2459</v>
      </c>
      <c r="C178" s="7" t="s">
        <v>2457</v>
      </c>
      <c r="D178" s="7" t="s">
        <v>2497</v>
      </c>
      <c r="E178" s="8" t="s">
        <v>294</v>
      </c>
      <c r="F178" s="8">
        <v>117541150038</v>
      </c>
      <c r="G178" s="7" t="str">
        <f t="shared" si="4"/>
        <v>117541150038@r6-1.deped.gov.ph</v>
      </c>
      <c r="H178" s="8" t="str">
        <f t="shared" si="5"/>
        <v>villaceran,302733</v>
      </c>
      <c r="I178" t="s">
        <v>14</v>
      </c>
    </row>
    <row r="179" spans="1:9" ht="12.75">
      <c r="A179" s="2">
        <v>176</v>
      </c>
      <c r="B179" s="7" t="s">
        <v>2459</v>
      </c>
      <c r="C179" s="7" t="s">
        <v>2498</v>
      </c>
      <c r="D179" s="7" t="s">
        <v>2499</v>
      </c>
      <c r="E179" s="8" t="s">
        <v>245</v>
      </c>
      <c r="F179" s="8">
        <v>117537150028</v>
      </c>
      <c r="G179" s="7" t="str">
        <f t="shared" si="4"/>
        <v>117537150028@r6-1.deped.gov.ph</v>
      </c>
      <c r="H179" s="8" t="str">
        <f t="shared" si="5"/>
        <v>abevas,302733</v>
      </c>
      <c r="I179" t="s">
        <v>14</v>
      </c>
    </row>
    <row r="180" spans="1:9" ht="12.75">
      <c r="A180" s="2">
        <v>177</v>
      </c>
      <c r="B180" s="7" t="s">
        <v>2459</v>
      </c>
      <c r="C180" s="7" t="s">
        <v>2439</v>
      </c>
      <c r="D180" s="7" t="s">
        <v>2500</v>
      </c>
      <c r="E180" s="8" t="s">
        <v>239</v>
      </c>
      <c r="F180" s="8">
        <v>117541150066</v>
      </c>
      <c r="G180" s="7" t="str">
        <f t="shared" si="4"/>
        <v>117541150066@r6-1.deped.gov.ph</v>
      </c>
      <c r="H180" s="8" t="str">
        <f t="shared" si="5"/>
        <v>bastida,302733</v>
      </c>
      <c r="I180" t="s">
        <v>14</v>
      </c>
    </row>
    <row r="181" spans="1:9" ht="12.75">
      <c r="A181" s="2">
        <v>178</v>
      </c>
      <c r="B181" s="7" t="s">
        <v>2459</v>
      </c>
      <c r="C181" s="7" t="s">
        <v>2501</v>
      </c>
      <c r="D181" s="7" t="s">
        <v>2502</v>
      </c>
      <c r="E181" s="8" t="s">
        <v>263</v>
      </c>
      <c r="F181" s="8">
        <v>117541120032</v>
      </c>
      <c r="G181" s="7" t="str">
        <f t="shared" si="4"/>
        <v>117541120032@r6-1.deped.gov.ph</v>
      </c>
      <c r="H181" s="8" t="str">
        <f t="shared" si="5"/>
        <v>cayao,302733</v>
      </c>
      <c r="I181" t="s">
        <v>14</v>
      </c>
    </row>
    <row r="182" spans="1:9" ht="12.75">
      <c r="A182" s="2">
        <v>179</v>
      </c>
      <c r="B182" s="7" t="s">
        <v>2459</v>
      </c>
      <c r="C182" s="7" t="s">
        <v>2503</v>
      </c>
      <c r="D182" s="7" t="s">
        <v>2504</v>
      </c>
      <c r="E182" s="8" t="s">
        <v>309</v>
      </c>
      <c r="F182" s="8">
        <v>117536150022</v>
      </c>
      <c r="G182" s="7" t="str">
        <f t="shared" si="4"/>
        <v>117536150022@r6-1.deped.gov.ph</v>
      </c>
      <c r="H182" s="8" t="str">
        <f t="shared" si="5"/>
        <v>dugayo,302733</v>
      </c>
      <c r="I182" t="s">
        <v>14</v>
      </c>
    </row>
    <row r="183" spans="1:9" ht="12.75">
      <c r="A183" s="2">
        <v>180</v>
      </c>
      <c r="B183" s="7" t="s">
        <v>2459</v>
      </c>
      <c r="C183" s="7" t="s">
        <v>532</v>
      </c>
      <c r="D183" s="7" t="s">
        <v>210</v>
      </c>
      <c r="E183" s="8" t="s">
        <v>268</v>
      </c>
      <c r="F183" s="8">
        <v>117541150023</v>
      </c>
      <c r="G183" s="7" t="str">
        <f t="shared" si="4"/>
        <v>117541150023@r6-1.deped.gov.ph</v>
      </c>
      <c r="H183" s="8" t="str">
        <f t="shared" si="5"/>
        <v>escala,302733</v>
      </c>
      <c r="I183" t="s">
        <v>14</v>
      </c>
    </row>
    <row r="184" spans="1:9" ht="12.75">
      <c r="A184" s="2">
        <v>181</v>
      </c>
      <c r="B184" s="7" t="s">
        <v>2459</v>
      </c>
      <c r="C184" s="7" t="s">
        <v>2505</v>
      </c>
      <c r="D184" s="7" t="s">
        <v>2506</v>
      </c>
      <c r="E184" s="8" t="s">
        <v>294</v>
      </c>
      <c r="F184" s="8">
        <v>117561150164</v>
      </c>
      <c r="G184" s="7" t="str">
        <f t="shared" si="4"/>
        <v>117561150164@r6-1.deped.gov.ph</v>
      </c>
      <c r="H184" s="8" t="str">
        <f t="shared" si="5"/>
        <v>maduramente,302733</v>
      </c>
      <c r="I184" t="s">
        <v>14</v>
      </c>
    </row>
    <row r="185" spans="1:9" ht="12.75">
      <c r="A185" s="2">
        <v>182</v>
      </c>
      <c r="B185" s="7" t="s">
        <v>2459</v>
      </c>
      <c r="C185" s="7" t="s">
        <v>2037</v>
      </c>
      <c r="D185" s="7" t="s">
        <v>2507</v>
      </c>
      <c r="E185" s="8" t="s">
        <v>231</v>
      </c>
      <c r="F185" s="8">
        <v>117537160029</v>
      </c>
      <c r="G185" s="7" t="str">
        <f t="shared" si="4"/>
        <v>117537160029@r6-1.deped.gov.ph</v>
      </c>
      <c r="H185" s="8" t="str">
        <f t="shared" si="5"/>
        <v>pabuaya,302733</v>
      </c>
      <c r="I185" t="s">
        <v>14</v>
      </c>
    </row>
    <row r="186" spans="1:9" ht="12.75">
      <c r="A186" s="2">
        <v>183</v>
      </c>
      <c r="B186" s="7"/>
      <c r="C186" s="7"/>
      <c r="D186" s="7"/>
      <c r="E186" s="8"/>
      <c r="F186" s="8"/>
      <c r="G186" s="7" t="str">
        <f t="shared" si="4"/>
        <v/>
      </c>
      <c r="H186" s="8" t="str">
        <f t="shared" si="5"/>
        <v/>
      </c>
    </row>
    <row r="187" spans="1:9" ht="12.75">
      <c r="A187" s="2">
        <v>184</v>
      </c>
      <c r="B187" s="7"/>
      <c r="C187" s="7"/>
      <c r="D187" s="7"/>
      <c r="E187" s="8"/>
      <c r="F187" s="8"/>
      <c r="G187" s="7" t="str">
        <f t="shared" ref="G187:G441" si="6">IF(F187="","",F187&amp;"@r6-1.deped.gov.ph")</f>
        <v/>
      </c>
      <c r="H187" s="8"/>
    </row>
    <row r="188" spans="1:9" ht="12.75">
      <c r="A188" s="2">
        <v>185</v>
      </c>
      <c r="B188" s="7"/>
      <c r="C188" s="7"/>
      <c r="D188" s="7"/>
      <c r="E188" s="8"/>
      <c r="F188" s="8"/>
      <c r="G188" s="7" t="str">
        <f t="shared" si="6"/>
        <v/>
      </c>
      <c r="H188" s="8"/>
    </row>
    <row r="189" spans="1:9" ht="12.75">
      <c r="A189" s="2">
        <v>186</v>
      </c>
      <c r="B189" s="7"/>
      <c r="C189" s="7"/>
      <c r="D189" s="7"/>
      <c r="E189" s="8"/>
      <c r="F189" s="8"/>
      <c r="G189" s="7" t="str">
        <f t="shared" si="6"/>
        <v/>
      </c>
      <c r="H189" s="8"/>
    </row>
    <row r="190" spans="1:9" ht="12.75">
      <c r="A190" s="2">
        <v>187</v>
      </c>
      <c r="B190" s="7"/>
      <c r="C190" s="7"/>
      <c r="D190" s="7"/>
      <c r="E190" s="8"/>
      <c r="F190" s="8"/>
      <c r="G190" s="7" t="str">
        <f t="shared" si="6"/>
        <v/>
      </c>
      <c r="H190" s="8"/>
    </row>
    <row r="191" spans="1:9" ht="12.75">
      <c r="A191" s="2">
        <v>188</v>
      </c>
      <c r="B191" s="7"/>
      <c r="C191" s="7"/>
      <c r="D191" s="7"/>
      <c r="E191" s="8"/>
      <c r="F191" s="8"/>
      <c r="G191" s="7" t="str">
        <f t="shared" si="6"/>
        <v/>
      </c>
      <c r="H191" s="8"/>
    </row>
    <row r="192" spans="1:9" ht="12.75">
      <c r="A192" s="2">
        <v>189</v>
      </c>
      <c r="B192" s="7"/>
      <c r="C192" s="7"/>
      <c r="D192" s="7"/>
      <c r="E192" s="8"/>
      <c r="F192" s="8"/>
      <c r="G192" s="7" t="str">
        <f t="shared" si="6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6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6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6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6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6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6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6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6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6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6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6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6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6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6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6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6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6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6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6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6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6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6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6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6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6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6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6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6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6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6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6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6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6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6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6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6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6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6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6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6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6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6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6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6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6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6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6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6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6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6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6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6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6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6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6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6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6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6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6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6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6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6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6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6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6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6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6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6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6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6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6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6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6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6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6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6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6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6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6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6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6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6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6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6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6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6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6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6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6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6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6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6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6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6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6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6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6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6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6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6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6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6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6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6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6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6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6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6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6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6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6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6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6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6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6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6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6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6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6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6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6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6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6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6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6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6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6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6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6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6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6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6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6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6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6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6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6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6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6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6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6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6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6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6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6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6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6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6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6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6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6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6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6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6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6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6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6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6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6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6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6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6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6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6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6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6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6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6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6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6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6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6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6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6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6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6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6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6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6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6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6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6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6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6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6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6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6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6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6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6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6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6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6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6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6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6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6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6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6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6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6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6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6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6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6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6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6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6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6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6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6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6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6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6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6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6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6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6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6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6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6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6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6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6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6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6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6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6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6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6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6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6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6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6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6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6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6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6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6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6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6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6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6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6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6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6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6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6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6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ref="G442:G503" si="7">IF(F442="","",F442&amp;"@r6-1.deped.gov.ph")</f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7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7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7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7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7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7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7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7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7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7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7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7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7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7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7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7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7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7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7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7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7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7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7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7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7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7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7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7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7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7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7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7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7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7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7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7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7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7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7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7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7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7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7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7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7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7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7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7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7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7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7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7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7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7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7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7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7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7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7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7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7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1002"/>
  <sheetViews>
    <sheetView zoomScale="85" zoomScaleNormal="85" workbookViewId="0">
      <pane ySplit="3" topLeftCell="A4" activePane="bottomLeft" state="frozen"/>
      <selection pane="bottomLeft" activeCell="D14" sqref="D14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2" ht="36.75" customHeight="1">
      <c r="A1" s="56" t="s">
        <v>2508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2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2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2" ht="15">
      <c r="A4" s="2">
        <v>1</v>
      </c>
      <c r="B4" s="7" t="s">
        <v>781</v>
      </c>
      <c r="C4" s="13" t="s">
        <v>2509</v>
      </c>
      <c r="D4" s="13" t="s">
        <v>2510</v>
      </c>
      <c r="E4" s="14" t="s">
        <v>281</v>
      </c>
      <c r="F4" s="13">
        <v>117717150001</v>
      </c>
      <c r="G4" s="7" t="str">
        <f t="shared" ref="G4:G260" si="0">IF(F4="","",F4&amp;"@r6-1.deped.gov.ph")</f>
        <v>117717150001@r6-1.deped.gov.ph</v>
      </c>
      <c r="H4" s="8" t="str">
        <f>IF(C4="","",LOWER(C4)&amp;",302732")</f>
        <v>alegia,302732</v>
      </c>
      <c r="I4" t="s">
        <v>14</v>
      </c>
    </row>
    <row r="5" spans="1:12" ht="15">
      <c r="A5" s="2">
        <v>2</v>
      </c>
      <c r="B5" s="7" t="s">
        <v>781</v>
      </c>
      <c r="C5" s="13" t="s">
        <v>2511</v>
      </c>
      <c r="D5" s="13" t="s">
        <v>1201</v>
      </c>
      <c r="E5" s="14" t="s">
        <v>263</v>
      </c>
      <c r="F5" s="13">
        <v>117548130010</v>
      </c>
      <c r="G5" s="7" t="str">
        <f t="shared" si="0"/>
        <v>117548130010@r6-1.deped.gov.ph</v>
      </c>
      <c r="H5" s="8" t="str">
        <f t="shared" ref="H5:H53" si="1">IF(C5="","",LOWER(C5)&amp;",302732")</f>
        <v>alihid,302732</v>
      </c>
      <c r="I5" t="s">
        <v>14</v>
      </c>
    </row>
    <row r="6" spans="1:12" ht="15">
      <c r="A6" s="2">
        <v>3</v>
      </c>
      <c r="B6" s="7" t="s">
        <v>781</v>
      </c>
      <c r="C6" s="13" t="s">
        <v>2512</v>
      </c>
      <c r="D6" s="13" t="s">
        <v>2513</v>
      </c>
      <c r="E6" s="14" t="s">
        <v>231</v>
      </c>
      <c r="F6" s="13">
        <v>117548140004</v>
      </c>
      <c r="G6" s="7" t="str">
        <f t="shared" si="0"/>
        <v>117548140004@r6-1.deped.gov.ph</v>
      </c>
      <c r="H6" s="8" t="str">
        <f t="shared" si="1"/>
        <v>carbo,302732</v>
      </c>
      <c r="I6" t="s">
        <v>14</v>
      </c>
    </row>
    <row r="7" spans="1:12" ht="15">
      <c r="A7" s="2">
        <v>4</v>
      </c>
      <c r="B7" s="7" t="s">
        <v>781</v>
      </c>
      <c r="C7" s="13" t="s">
        <v>314</v>
      </c>
      <c r="D7" s="13" t="s">
        <v>2514</v>
      </c>
      <c r="E7" s="14" t="s">
        <v>231</v>
      </c>
      <c r="F7" s="13">
        <v>117548150012</v>
      </c>
      <c r="G7" s="7" t="str">
        <f t="shared" si="0"/>
        <v>117548150012@r6-1.deped.gov.ph</v>
      </c>
      <c r="H7" s="8" t="str">
        <f t="shared" si="1"/>
        <v>dela cruz,302732</v>
      </c>
      <c r="I7" t="s">
        <v>14</v>
      </c>
    </row>
    <row r="8" spans="1:12" ht="15">
      <c r="A8" s="2">
        <v>5</v>
      </c>
      <c r="B8" s="7" t="s">
        <v>781</v>
      </c>
      <c r="C8" s="13" t="s">
        <v>314</v>
      </c>
      <c r="D8" s="13" t="s">
        <v>2515</v>
      </c>
      <c r="E8" s="14" t="s">
        <v>252</v>
      </c>
      <c r="F8" s="13">
        <v>117548150040</v>
      </c>
      <c r="G8" s="7" t="str">
        <f t="shared" si="0"/>
        <v>117548150040@r6-1.deped.gov.ph</v>
      </c>
      <c r="H8" s="8" t="str">
        <f t="shared" si="1"/>
        <v>dela cruz,302732</v>
      </c>
      <c r="I8" t="s">
        <v>14</v>
      </c>
    </row>
    <row r="9" spans="1:12" ht="15">
      <c r="A9" s="2">
        <v>6</v>
      </c>
      <c r="B9" s="7" t="s">
        <v>781</v>
      </c>
      <c r="C9" s="13" t="s">
        <v>2516</v>
      </c>
      <c r="D9" s="13" t="s">
        <v>2517</v>
      </c>
      <c r="E9" s="14" t="s">
        <v>294</v>
      </c>
      <c r="F9" s="13">
        <v>123124140035</v>
      </c>
      <c r="G9" s="7" t="str">
        <f t="shared" si="0"/>
        <v>123124140035@r6-1.deped.gov.ph</v>
      </c>
      <c r="H9" s="8" t="str">
        <f t="shared" si="1"/>
        <v>dolorzo,302732</v>
      </c>
      <c r="I9" t="s">
        <v>14</v>
      </c>
    </row>
    <row r="10" spans="1:12" ht="15">
      <c r="A10" s="2">
        <v>7</v>
      </c>
      <c r="B10" s="7" t="s">
        <v>781</v>
      </c>
      <c r="C10" s="13" t="s">
        <v>2518</v>
      </c>
      <c r="D10" s="13" t="s">
        <v>2519</v>
      </c>
      <c r="E10" s="14" t="s">
        <v>739</v>
      </c>
      <c r="F10" s="13">
        <v>117534150005</v>
      </c>
      <c r="G10" s="7" t="str">
        <f t="shared" si="0"/>
        <v>117534150005@r6-1.deped.gov.ph</v>
      </c>
      <c r="H10" s="8" t="str">
        <f t="shared" si="1"/>
        <v>fennis,302732</v>
      </c>
      <c r="I10" t="s">
        <v>14</v>
      </c>
    </row>
    <row r="11" spans="1:12" ht="15">
      <c r="A11" s="2">
        <v>8</v>
      </c>
      <c r="B11" s="7" t="s">
        <v>781</v>
      </c>
      <c r="C11" s="13" t="s">
        <v>1464</v>
      </c>
      <c r="D11" s="13" t="s">
        <v>2520</v>
      </c>
      <c r="E11" s="14" t="s">
        <v>242</v>
      </c>
      <c r="F11" s="13">
        <v>116464150005</v>
      </c>
      <c r="G11" s="7" t="str">
        <f t="shared" si="0"/>
        <v>116464150005@r6-1.deped.gov.ph</v>
      </c>
      <c r="H11" s="8" t="str">
        <f t="shared" si="1"/>
        <v>guarino,302732</v>
      </c>
      <c r="I11" t="s">
        <v>14</v>
      </c>
    </row>
    <row r="12" spans="1:12" ht="15">
      <c r="A12" s="2">
        <v>9</v>
      </c>
      <c r="B12" s="7" t="s">
        <v>781</v>
      </c>
      <c r="C12" s="13" t="s">
        <v>1464</v>
      </c>
      <c r="D12" s="13" t="s">
        <v>2521</v>
      </c>
      <c r="E12" s="14" t="s">
        <v>242</v>
      </c>
      <c r="F12" s="13">
        <v>117548140034</v>
      </c>
      <c r="G12" s="7" t="str">
        <f t="shared" si="0"/>
        <v>117548140034@r6-1.deped.gov.ph</v>
      </c>
      <c r="H12" s="8" t="str">
        <f t="shared" si="1"/>
        <v>guarino,302732</v>
      </c>
      <c r="I12" t="s">
        <v>14</v>
      </c>
    </row>
    <row r="13" spans="1:12" ht="15">
      <c r="A13" s="2">
        <v>10</v>
      </c>
      <c r="B13" s="7" t="s">
        <v>781</v>
      </c>
      <c r="C13" s="13" t="s">
        <v>2522</v>
      </c>
      <c r="D13" s="13" t="s">
        <v>2523</v>
      </c>
      <c r="E13" s="14" t="s">
        <v>361</v>
      </c>
      <c r="F13" s="13">
        <v>117556150019</v>
      </c>
      <c r="G13" s="7" t="str">
        <f t="shared" si="0"/>
        <v>117556150019@r6-1.deped.gov.ph</v>
      </c>
      <c r="H13" s="8" t="str">
        <f t="shared" si="1"/>
        <v>hamilon,302732</v>
      </c>
      <c r="I13" t="s">
        <v>14</v>
      </c>
    </row>
    <row r="14" spans="1:12" ht="15">
      <c r="A14" s="2">
        <v>11</v>
      </c>
      <c r="B14" s="7" t="s">
        <v>781</v>
      </c>
      <c r="C14" s="13" t="s">
        <v>2524</v>
      </c>
      <c r="D14" s="13" t="s">
        <v>2525</v>
      </c>
      <c r="E14" s="14" t="s">
        <v>242</v>
      </c>
      <c r="F14" s="53" t="s">
        <v>2526</v>
      </c>
      <c r="G14" s="7" t="str">
        <f>IF(F14="","",F14&amp;"@r6-1.deped.gov.ph")</f>
        <v>117556140013@r6-1.deped.gov.ph</v>
      </c>
      <c r="H14" s="8" t="str">
        <f t="shared" si="1"/>
        <v>ocon,302732</v>
      </c>
      <c r="I14" s="20" t="s">
        <v>2527</v>
      </c>
      <c r="L14" t="s">
        <v>14</v>
      </c>
    </row>
    <row r="15" spans="1:12" ht="15">
      <c r="A15" s="2">
        <v>12</v>
      </c>
      <c r="B15" s="7" t="s">
        <v>781</v>
      </c>
      <c r="C15" s="13" t="s">
        <v>2528</v>
      </c>
      <c r="D15" s="13" t="s">
        <v>2529</v>
      </c>
      <c r="E15" s="14" t="s">
        <v>260</v>
      </c>
      <c r="F15" s="13">
        <v>117556140013</v>
      </c>
      <c r="G15" s="7" t="str">
        <f>IF(F15="","",F15&amp;"@r6-1.deped.gov.ph")</f>
        <v>117556140013@r6-1.deped.gov.ph</v>
      </c>
      <c r="H15" s="8" t="str">
        <f t="shared" si="1"/>
        <v>poblete,302732</v>
      </c>
      <c r="I15" t="s">
        <v>46</v>
      </c>
    </row>
    <row r="16" spans="1:12" ht="15">
      <c r="A16" s="2">
        <v>13</v>
      </c>
      <c r="B16" s="7" t="s">
        <v>781</v>
      </c>
      <c r="C16" s="13" t="s">
        <v>2530</v>
      </c>
      <c r="D16" s="13" t="s">
        <v>2531</v>
      </c>
      <c r="E16" s="14" t="s">
        <v>239</v>
      </c>
      <c r="F16" s="53" t="s">
        <v>2532</v>
      </c>
      <c r="G16" s="7" t="str">
        <f t="shared" si="0"/>
        <v>117532150005@r6-1.deped.gov.ph</v>
      </c>
      <c r="H16" s="8" t="str">
        <f t="shared" si="1"/>
        <v>rosales,302732</v>
      </c>
      <c r="I16" s="21" t="s">
        <v>2533</v>
      </c>
      <c r="L16" t="s">
        <v>14</v>
      </c>
    </row>
    <row r="17" spans="1:12" ht="15">
      <c r="A17" s="2">
        <v>14</v>
      </c>
      <c r="B17" s="7" t="s">
        <v>781</v>
      </c>
      <c r="C17" s="13" t="s">
        <v>2534</v>
      </c>
      <c r="D17" s="13" t="s">
        <v>511</v>
      </c>
      <c r="E17" s="14" t="s">
        <v>444</v>
      </c>
      <c r="F17" s="53" t="s">
        <v>2535</v>
      </c>
      <c r="G17" s="7" t="str">
        <f t="shared" si="0"/>
        <v>117556140014@r6-1.deped.gov.ph</v>
      </c>
      <c r="H17" s="8" t="str">
        <f t="shared" si="1"/>
        <v>tapanan,302732</v>
      </c>
      <c r="I17" s="20" t="s">
        <v>2536</v>
      </c>
      <c r="L17" t="s">
        <v>14</v>
      </c>
    </row>
    <row r="18" spans="1:12" ht="15">
      <c r="A18" s="2">
        <v>15</v>
      </c>
      <c r="B18" s="7" t="s">
        <v>781</v>
      </c>
      <c r="C18" s="13" t="s">
        <v>2537</v>
      </c>
      <c r="D18" s="13" t="s">
        <v>2538</v>
      </c>
      <c r="E18" s="14" t="s">
        <v>2539</v>
      </c>
      <c r="F18" s="13">
        <v>117556140014</v>
      </c>
      <c r="G18" s="7" t="str">
        <f t="shared" si="0"/>
        <v>117556140014@r6-1.deped.gov.ph</v>
      </c>
      <c r="H18" s="8" t="str">
        <f t="shared" si="1"/>
        <v>tingson,302732</v>
      </c>
      <c r="I18" t="s">
        <v>46</v>
      </c>
    </row>
    <row r="19" spans="1:12" ht="15">
      <c r="A19" s="2">
        <v>16</v>
      </c>
      <c r="B19" s="7" t="s">
        <v>781</v>
      </c>
      <c r="C19" s="13" t="s">
        <v>2540</v>
      </c>
      <c r="D19" s="13" t="s">
        <v>238</v>
      </c>
      <c r="E19" s="14" t="s">
        <v>263</v>
      </c>
      <c r="F19" s="53" t="s">
        <v>2541</v>
      </c>
      <c r="G19" s="7" t="str">
        <f t="shared" si="0"/>
        <v>117548140042@r6-1.deped.gov.ph</v>
      </c>
      <c r="H19" s="8" t="str">
        <f t="shared" si="1"/>
        <v>largo,302732</v>
      </c>
      <c r="I19" s="21" t="s">
        <v>2542</v>
      </c>
      <c r="L19" t="s">
        <v>14</v>
      </c>
    </row>
    <row r="20" spans="1:12" ht="15">
      <c r="A20" s="2">
        <v>17</v>
      </c>
      <c r="B20" s="7" t="s">
        <v>781</v>
      </c>
      <c r="C20" s="13" t="s">
        <v>2543</v>
      </c>
      <c r="D20" s="13" t="s">
        <v>2544</v>
      </c>
      <c r="E20" s="14" t="s">
        <v>309</v>
      </c>
      <c r="F20" s="13">
        <v>117534150013</v>
      </c>
      <c r="G20" s="7" t="str">
        <f t="shared" si="0"/>
        <v>117534150013@r6-1.deped.gov.ph</v>
      </c>
      <c r="H20" s="8" t="str">
        <f t="shared" si="1"/>
        <v>alsonado,302732</v>
      </c>
      <c r="I20" s="21" t="s">
        <v>14</v>
      </c>
    </row>
    <row r="21" spans="1:12" ht="15">
      <c r="A21" s="2">
        <v>18</v>
      </c>
      <c r="B21" s="7" t="s">
        <v>781</v>
      </c>
      <c r="C21" s="13" t="s">
        <v>2545</v>
      </c>
      <c r="D21" s="13" t="s">
        <v>544</v>
      </c>
      <c r="E21" s="14" t="s">
        <v>260</v>
      </c>
      <c r="F21" s="13">
        <v>117536150102</v>
      </c>
      <c r="G21" s="7" t="str">
        <f t="shared" si="0"/>
        <v>117536150102@r6-1.deped.gov.ph</v>
      </c>
      <c r="H21" s="8" t="str">
        <f t="shared" si="1"/>
        <v>cahilig,302732</v>
      </c>
      <c r="I21" t="s">
        <v>14</v>
      </c>
    </row>
    <row r="22" spans="1:12" ht="15">
      <c r="A22" s="2">
        <v>19</v>
      </c>
      <c r="B22" s="7" t="s">
        <v>781</v>
      </c>
      <c r="C22" s="13" t="s">
        <v>2546</v>
      </c>
      <c r="D22" s="13" t="s">
        <v>2547</v>
      </c>
      <c r="E22" s="14" t="s">
        <v>268</v>
      </c>
      <c r="F22" s="53" t="s">
        <v>2548</v>
      </c>
      <c r="G22" s="7" t="str">
        <f t="shared" si="0"/>
        <v>117707150093@r6-1.deped.gov.ph</v>
      </c>
      <c r="H22" s="8" t="str">
        <f t="shared" si="1"/>
        <v>insepido,302732</v>
      </c>
      <c r="I22" s="21" t="s">
        <v>2549</v>
      </c>
      <c r="L22" t="s">
        <v>14</v>
      </c>
    </row>
    <row r="23" spans="1:12" ht="15">
      <c r="A23" s="2">
        <v>20</v>
      </c>
      <c r="B23" s="7" t="s">
        <v>781</v>
      </c>
      <c r="C23" s="13" t="s">
        <v>2550</v>
      </c>
      <c r="D23" s="13" t="s">
        <v>2551</v>
      </c>
      <c r="E23" s="14" t="s">
        <v>231</v>
      </c>
      <c r="F23" s="53" t="s">
        <v>2552</v>
      </c>
      <c r="G23" s="7" t="str">
        <f t="shared" si="0"/>
        <v>117556150013@r6-1.deped.gov.ph</v>
      </c>
      <c r="H23" s="8" t="str">
        <f t="shared" si="1"/>
        <v>limbang,302732</v>
      </c>
      <c r="I23" s="22" t="s">
        <v>2553</v>
      </c>
      <c r="L23" t="s">
        <v>14</v>
      </c>
    </row>
    <row r="24" spans="1:12" ht="15">
      <c r="A24" s="2">
        <v>21</v>
      </c>
      <c r="B24" s="7" t="s">
        <v>781</v>
      </c>
      <c r="C24" s="13" t="s">
        <v>1819</v>
      </c>
      <c r="D24" s="13" t="s">
        <v>2554</v>
      </c>
      <c r="E24" s="14" t="s">
        <v>234</v>
      </c>
      <c r="F24" s="53" t="s">
        <v>2555</v>
      </c>
      <c r="G24" s="7" t="str">
        <f t="shared" si="0"/>
        <v>117536150096@r6-1.deped.gov.ph</v>
      </c>
      <c r="H24" s="8" t="str">
        <f t="shared" si="1"/>
        <v>gamao,302732</v>
      </c>
      <c r="I24" s="21" t="s">
        <v>2556</v>
      </c>
      <c r="L24" t="s">
        <v>14</v>
      </c>
    </row>
    <row r="25" spans="1:12" ht="15">
      <c r="A25" s="2">
        <v>22</v>
      </c>
      <c r="B25" s="7" t="s">
        <v>781</v>
      </c>
      <c r="C25" s="13" t="s">
        <v>2557</v>
      </c>
      <c r="D25" s="13" t="s">
        <v>289</v>
      </c>
      <c r="E25" s="14" t="s">
        <v>242</v>
      </c>
      <c r="F25" s="13">
        <v>117717150016</v>
      </c>
      <c r="G25" s="7" t="str">
        <f t="shared" si="0"/>
        <v>117717150016@r6-1.deped.gov.ph</v>
      </c>
      <c r="H25" s="8" t="str">
        <f t="shared" si="1"/>
        <v>noval,302732</v>
      </c>
      <c r="I25" t="s">
        <v>14</v>
      </c>
    </row>
    <row r="26" spans="1:12" ht="15">
      <c r="A26" s="2">
        <v>23</v>
      </c>
      <c r="B26" s="7" t="s">
        <v>781</v>
      </c>
      <c r="C26" s="13" t="s">
        <v>2558</v>
      </c>
      <c r="D26" s="13" t="s">
        <v>2559</v>
      </c>
      <c r="E26" s="14" t="s">
        <v>252</v>
      </c>
      <c r="F26" s="13">
        <v>117548150032</v>
      </c>
      <c r="G26" s="7" t="str">
        <f t="shared" si="0"/>
        <v>117548150032@r6-1.deped.gov.ph</v>
      </c>
      <c r="H26" s="8" t="str">
        <f t="shared" si="1"/>
        <v>parreńo,302732</v>
      </c>
      <c r="I26" t="s">
        <v>14</v>
      </c>
    </row>
    <row r="27" spans="1:12" ht="15">
      <c r="A27" s="2">
        <v>24</v>
      </c>
      <c r="B27" s="7" t="s">
        <v>781</v>
      </c>
      <c r="C27" s="13" t="s">
        <v>2560</v>
      </c>
      <c r="D27" s="13" t="s">
        <v>2561</v>
      </c>
      <c r="E27" s="14" t="s">
        <v>252</v>
      </c>
      <c r="F27" s="13">
        <v>117548150033</v>
      </c>
      <c r="G27" s="7" t="str">
        <f t="shared" si="0"/>
        <v>117548150033@r6-1.deped.gov.ph</v>
      </c>
      <c r="H27" s="8" t="str">
        <f t="shared" si="1"/>
        <v>raz,302732</v>
      </c>
      <c r="I27" t="s">
        <v>14</v>
      </c>
    </row>
    <row r="28" spans="1:12" ht="15">
      <c r="A28" s="2">
        <v>25</v>
      </c>
      <c r="B28" s="7" t="s">
        <v>2562</v>
      </c>
      <c r="C28" s="15" t="s">
        <v>2563</v>
      </c>
      <c r="D28" s="13" t="s">
        <v>315</v>
      </c>
      <c r="E28" s="14" t="s">
        <v>239</v>
      </c>
      <c r="F28" s="15">
        <v>117536140114</v>
      </c>
      <c r="G28" s="7" t="str">
        <f t="shared" si="0"/>
        <v>117536140114@r6-1.deped.gov.ph</v>
      </c>
      <c r="H28" s="8" t="str">
        <f t="shared" si="1"/>
        <v>amador,302732</v>
      </c>
      <c r="I28" t="s">
        <v>14</v>
      </c>
    </row>
    <row r="29" spans="1:12" ht="15">
      <c r="A29" s="2">
        <v>26</v>
      </c>
      <c r="B29" s="7" t="s">
        <v>2562</v>
      </c>
      <c r="C29" s="16" t="s">
        <v>2564</v>
      </c>
      <c r="D29" s="13" t="s">
        <v>2565</v>
      </c>
      <c r="E29" s="14" t="s">
        <v>252</v>
      </c>
      <c r="F29" s="15">
        <v>117548150007</v>
      </c>
      <c r="G29" s="7" t="str">
        <f t="shared" si="0"/>
        <v>117548150007@r6-1.deped.gov.ph</v>
      </c>
      <c r="H29" s="8" t="str">
        <f t="shared" si="1"/>
        <v>baja,302732</v>
      </c>
      <c r="I29" t="s">
        <v>14</v>
      </c>
    </row>
    <row r="30" spans="1:12" ht="15">
      <c r="A30" s="2">
        <v>27</v>
      </c>
      <c r="B30" s="7" t="s">
        <v>2562</v>
      </c>
      <c r="C30" s="15" t="s">
        <v>2566</v>
      </c>
      <c r="D30" s="13" t="s">
        <v>791</v>
      </c>
      <c r="E30" s="14" t="s">
        <v>239</v>
      </c>
      <c r="F30" s="15">
        <v>117534150027</v>
      </c>
      <c r="G30" s="7" t="str">
        <f t="shared" si="0"/>
        <v>117534150027@r6-1.deped.gov.ph</v>
      </c>
      <c r="H30" s="8" t="str">
        <f t="shared" si="1"/>
        <v>cezar,302732</v>
      </c>
      <c r="I30" t="s">
        <v>14</v>
      </c>
    </row>
    <row r="31" spans="1:12" ht="15">
      <c r="A31" s="2">
        <v>28</v>
      </c>
      <c r="B31" s="7" t="s">
        <v>2562</v>
      </c>
      <c r="C31" s="15" t="s">
        <v>2567</v>
      </c>
      <c r="D31" s="13" t="s">
        <v>2568</v>
      </c>
      <c r="E31" s="14" t="s">
        <v>245</v>
      </c>
      <c r="F31" s="15">
        <v>117548140041</v>
      </c>
      <c r="G31" s="7" t="str">
        <f t="shared" si="0"/>
        <v>117548140041@r6-1.deped.gov.ph</v>
      </c>
      <c r="H31" s="8" t="str">
        <f t="shared" si="1"/>
        <v>delfin,302732</v>
      </c>
      <c r="I31" t="s">
        <v>14</v>
      </c>
    </row>
    <row r="32" spans="1:12" ht="15">
      <c r="A32" s="2">
        <v>29</v>
      </c>
      <c r="B32" s="7" t="s">
        <v>2562</v>
      </c>
      <c r="C32" s="15" t="s">
        <v>1045</v>
      </c>
      <c r="D32" s="13" t="s">
        <v>2569</v>
      </c>
      <c r="E32" s="14" t="s">
        <v>444</v>
      </c>
      <c r="F32" s="15">
        <v>117532140027</v>
      </c>
      <c r="G32" s="7" t="str">
        <f t="shared" si="0"/>
        <v>117532140027@r6-1.deped.gov.ph</v>
      </c>
      <c r="H32" s="8" t="str">
        <f t="shared" si="1"/>
        <v>despues,302732</v>
      </c>
      <c r="I32" t="s">
        <v>14</v>
      </c>
    </row>
    <row r="33" spans="1:9" ht="15">
      <c r="A33" s="2">
        <v>30</v>
      </c>
      <c r="B33" s="7" t="s">
        <v>2562</v>
      </c>
      <c r="C33" s="15" t="s">
        <v>2570</v>
      </c>
      <c r="D33" s="13" t="s">
        <v>2267</v>
      </c>
      <c r="E33" s="14" t="s">
        <v>263</v>
      </c>
      <c r="F33" s="15">
        <v>117534150020</v>
      </c>
      <c r="G33" s="7" t="str">
        <f t="shared" si="0"/>
        <v>117534150020@r6-1.deped.gov.ph</v>
      </c>
      <c r="H33" s="8" t="str">
        <f t="shared" si="1"/>
        <v>diamante,302732</v>
      </c>
      <c r="I33" t="s">
        <v>14</v>
      </c>
    </row>
    <row r="34" spans="1:9" ht="15">
      <c r="A34" s="2">
        <v>31</v>
      </c>
      <c r="B34" s="7" t="s">
        <v>2562</v>
      </c>
      <c r="C34" s="15" t="s">
        <v>2571</v>
      </c>
      <c r="D34" s="13" t="s">
        <v>315</v>
      </c>
      <c r="E34" s="14" t="s">
        <v>245</v>
      </c>
      <c r="F34" s="15">
        <v>117534120008</v>
      </c>
      <c r="G34" s="7" t="str">
        <f t="shared" si="0"/>
        <v>117534120008@r6-1.deped.gov.ph</v>
      </c>
      <c r="H34" s="8" t="str">
        <f t="shared" si="1"/>
        <v>dumdum,302732</v>
      </c>
      <c r="I34" t="s">
        <v>14</v>
      </c>
    </row>
    <row r="35" spans="1:9" ht="15">
      <c r="A35" s="2">
        <v>32</v>
      </c>
      <c r="B35" s="7" t="s">
        <v>2562</v>
      </c>
      <c r="C35" s="17" t="s">
        <v>2572</v>
      </c>
      <c r="D35" s="13" t="s">
        <v>2573</v>
      </c>
      <c r="E35" s="14" t="s">
        <v>444</v>
      </c>
      <c r="F35" s="15">
        <v>117548150035</v>
      </c>
      <c r="G35" s="7" t="str">
        <f t="shared" si="0"/>
        <v>117548150035@r6-1.deped.gov.ph</v>
      </c>
      <c r="H35" s="8" t="str">
        <f t="shared" si="1"/>
        <v>lamis,302732</v>
      </c>
      <c r="I35" t="s">
        <v>14</v>
      </c>
    </row>
    <row r="36" spans="1:9" ht="15">
      <c r="A36" s="2">
        <v>33</v>
      </c>
      <c r="B36" s="7" t="s">
        <v>2562</v>
      </c>
      <c r="C36" s="15" t="s">
        <v>2207</v>
      </c>
      <c r="D36" s="13" t="s">
        <v>2574</v>
      </c>
      <c r="E36" s="14" t="s">
        <v>294</v>
      </c>
      <c r="F36" s="15">
        <v>117548150017</v>
      </c>
      <c r="G36" s="7" t="str">
        <f t="shared" si="0"/>
        <v>117548150017@r6-1.deped.gov.ph</v>
      </c>
      <c r="H36" s="8" t="str">
        <f t="shared" si="1"/>
        <v>lasquite,302732</v>
      </c>
      <c r="I36" t="s">
        <v>14</v>
      </c>
    </row>
    <row r="37" spans="1:9" ht="15">
      <c r="A37" s="2">
        <v>34</v>
      </c>
      <c r="B37" s="7" t="s">
        <v>2562</v>
      </c>
      <c r="C37" s="15" t="s">
        <v>2575</v>
      </c>
      <c r="D37" s="13" t="s">
        <v>2576</v>
      </c>
      <c r="E37" s="14" t="s">
        <v>242</v>
      </c>
      <c r="F37" s="15">
        <v>117453150063</v>
      </c>
      <c r="G37" s="7" t="str">
        <f t="shared" si="0"/>
        <v>117453150063@r6-1.deped.gov.ph</v>
      </c>
      <c r="H37" s="8" t="str">
        <f t="shared" si="1"/>
        <v>libre,302732</v>
      </c>
      <c r="I37" t="s">
        <v>14</v>
      </c>
    </row>
    <row r="38" spans="1:9" ht="15">
      <c r="A38" s="2">
        <v>35</v>
      </c>
      <c r="B38" s="7" t="s">
        <v>2562</v>
      </c>
      <c r="C38" s="15" t="s">
        <v>2577</v>
      </c>
      <c r="D38" s="13" t="s">
        <v>2578</v>
      </c>
      <c r="E38" s="14" t="s">
        <v>242</v>
      </c>
      <c r="F38" s="15">
        <v>117551150003</v>
      </c>
      <c r="G38" s="7" t="str">
        <f t="shared" si="0"/>
        <v>117551150003@r6-1.deped.gov.ph</v>
      </c>
      <c r="H38" s="8" t="str">
        <f t="shared" si="1"/>
        <v>magarso,302732</v>
      </c>
      <c r="I38" t="s">
        <v>14</v>
      </c>
    </row>
    <row r="39" spans="1:9" ht="15">
      <c r="A39" s="2">
        <v>36</v>
      </c>
      <c r="B39" s="7" t="s">
        <v>2562</v>
      </c>
      <c r="C39" s="15" t="s">
        <v>2579</v>
      </c>
      <c r="D39" s="13" t="s">
        <v>2580</v>
      </c>
      <c r="E39" s="14" t="s">
        <v>239</v>
      </c>
      <c r="F39" s="15">
        <v>117548140006</v>
      </c>
      <c r="G39" s="7" t="str">
        <f t="shared" si="0"/>
        <v>117548140006@r6-1.deped.gov.ph</v>
      </c>
      <c r="H39" s="8" t="str">
        <f t="shared" si="1"/>
        <v>niala,302732</v>
      </c>
      <c r="I39" t="s">
        <v>14</v>
      </c>
    </row>
    <row r="40" spans="1:9" ht="15">
      <c r="A40" s="2">
        <v>37</v>
      </c>
      <c r="B40" s="7" t="s">
        <v>2562</v>
      </c>
      <c r="C40" s="15" t="s">
        <v>2581</v>
      </c>
      <c r="D40" s="13" t="s">
        <v>564</v>
      </c>
      <c r="E40" s="14" t="s">
        <v>294</v>
      </c>
      <c r="F40" s="15">
        <v>117548140007</v>
      </c>
      <c r="G40" s="7" t="str">
        <f t="shared" si="0"/>
        <v>117548140007@r6-1.deped.gov.ph</v>
      </c>
      <c r="H40" s="8" t="str">
        <f t="shared" si="1"/>
        <v>ochavillo,302732</v>
      </c>
      <c r="I40" t="s">
        <v>14</v>
      </c>
    </row>
    <row r="41" spans="1:9" ht="15">
      <c r="A41" s="2">
        <v>38</v>
      </c>
      <c r="B41" s="7" t="s">
        <v>2562</v>
      </c>
      <c r="C41" s="15" t="s">
        <v>2039</v>
      </c>
      <c r="D41" s="13" t="s">
        <v>2582</v>
      </c>
      <c r="E41" s="14" t="s">
        <v>239</v>
      </c>
      <c r="F41" s="15">
        <v>117533130046</v>
      </c>
      <c r="G41" s="7" t="str">
        <f t="shared" si="0"/>
        <v>117533130046@r6-1.deped.gov.ph</v>
      </c>
      <c r="H41" s="8" t="str">
        <f t="shared" si="1"/>
        <v>pabulaya,302732</v>
      </c>
      <c r="I41" t="s">
        <v>46</v>
      </c>
    </row>
    <row r="42" spans="1:9" ht="15">
      <c r="A42" s="2">
        <v>39</v>
      </c>
      <c r="B42" s="7" t="s">
        <v>2562</v>
      </c>
      <c r="C42" s="15" t="s">
        <v>514</v>
      </c>
      <c r="D42" s="13" t="s">
        <v>2583</v>
      </c>
      <c r="E42" s="14" t="s">
        <v>268</v>
      </c>
      <c r="F42" s="15">
        <v>117557150012</v>
      </c>
      <c r="G42" s="7" t="str">
        <f t="shared" si="0"/>
        <v>117557150012@r6-1.deped.gov.ph</v>
      </c>
      <c r="H42" s="8" t="str">
        <f t="shared" si="1"/>
        <v>patricio,302732</v>
      </c>
      <c r="I42" t="s">
        <v>14</v>
      </c>
    </row>
    <row r="43" spans="1:9" ht="15">
      <c r="A43" s="2">
        <v>40</v>
      </c>
      <c r="B43" s="7" t="s">
        <v>2562</v>
      </c>
      <c r="C43" s="15" t="s">
        <v>2324</v>
      </c>
      <c r="D43" s="13" t="s">
        <v>2584</v>
      </c>
      <c r="E43" s="14" t="s">
        <v>239</v>
      </c>
      <c r="F43" s="15">
        <v>117557150008</v>
      </c>
      <c r="G43" s="7" t="str">
        <f t="shared" si="0"/>
        <v>117557150008@r6-1.deped.gov.ph</v>
      </c>
      <c r="H43" s="8" t="str">
        <f t="shared" si="1"/>
        <v>serantes,302732</v>
      </c>
      <c r="I43" t="s">
        <v>14</v>
      </c>
    </row>
    <row r="44" spans="1:9" ht="15">
      <c r="A44" s="2">
        <v>41</v>
      </c>
      <c r="B44" s="7" t="s">
        <v>2562</v>
      </c>
      <c r="C44" s="15" t="s">
        <v>2585</v>
      </c>
      <c r="D44" s="13" t="s">
        <v>2250</v>
      </c>
      <c r="E44" s="14" t="s">
        <v>281</v>
      </c>
      <c r="F44" s="15">
        <v>117548150021</v>
      </c>
      <c r="G44" s="7" t="str">
        <f t="shared" si="0"/>
        <v>117548150021@r6-1.deped.gov.ph</v>
      </c>
      <c r="H44" s="8" t="str">
        <f t="shared" si="1"/>
        <v>sta. ana,302732</v>
      </c>
      <c r="I44" t="s">
        <v>14</v>
      </c>
    </row>
    <row r="45" spans="1:9" ht="15">
      <c r="A45" s="2">
        <v>42</v>
      </c>
      <c r="B45" s="7" t="s">
        <v>2562</v>
      </c>
      <c r="C45" s="15" t="s">
        <v>2586</v>
      </c>
      <c r="D45" s="13" t="s">
        <v>2587</v>
      </c>
      <c r="E45" s="14" t="s">
        <v>739</v>
      </c>
      <c r="F45" s="15">
        <v>117556150005</v>
      </c>
      <c r="G45" s="7" t="str">
        <f t="shared" si="0"/>
        <v>117556150005@r6-1.deped.gov.ph</v>
      </c>
      <c r="H45" s="8" t="str">
        <f t="shared" si="1"/>
        <v>alutaya,302732</v>
      </c>
      <c r="I45" t="s">
        <v>14</v>
      </c>
    </row>
    <row r="46" spans="1:9" ht="15">
      <c r="A46" s="2">
        <v>43</v>
      </c>
      <c r="B46" s="7" t="s">
        <v>2562</v>
      </c>
      <c r="C46" s="15" t="s">
        <v>2588</v>
      </c>
      <c r="D46" s="13" t="s">
        <v>2589</v>
      </c>
      <c r="E46" s="14" t="s">
        <v>294</v>
      </c>
      <c r="F46" s="15">
        <v>117556150001</v>
      </c>
      <c r="G46" s="7" t="str">
        <f t="shared" si="0"/>
        <v>117556150001@r6-1.deped.gov.ph</v>
      </c>
      <c r="H46" s="8" t="str">
        <f t="shared" si="1"/>
        <v>aurita,302732</v>
      </c>
      <c r="I46" t="s">
        <v>14</v>
      </c>
    </row>
    <row r="47" spans="1:9" ht="15">
      <c r="A47" s="2">
        <v>44</v>
      </c>
      <c r="B47" s="7" t="s">
        <v>2562</v>
      </c>
      <c r="C47" s="15" t="s">
        <v>2590</v>
      </c>
      <c r="D47" s="13" t="s">
        <v>649</v>
      </c>
      <c r="E47" s="14" t="s">
        <v>252</v>
      </c>
      <c r="F47" s="15">
        <v>117556150007</v>
      </c>
      <c r="G47" s="7" t="str">
        <f t="shared" si="0"/>
        <v>117556150007@r6-1.deped.gov.ph</v>
      </c>
      <c r="H47" s="8" t="str">
        <f t="shared" si="1"/>
        <v>bachinela,302732</v>
      </c>
      <c r="I47" t="s">
        <v>14</v>
      </c>
    </row>
    <row r="48" spans="1:9" ht="15">
      <c r="A48" s="2">
        <v>45</v>
      </c>
      <c r="B48" s="7" t="s">
        <v>2562</v>
      </c>
      <c r="C48" s="15" t="s">
        <v>1048</v>
      </c>
      <c r="D48" s="13" t="s">
        <v>2591</v>
      </c>
      <c r="E48" s="14" t="s">
        <v>268</v>
      </c>
      <c r="F48" s="15">
        <v>117556150010</v>
      </c>
      <c r="G48" s="7" t="str">
        <f t="shared" si="0"/>
        <v>117556150010@r6-1.deped.gov.ph</v>
      </c>
      <c r="H48" s="8" t="str">
        <f t="shared" si="1"/>
        <v>destriza,302732</v>
      </c>
      <c r="I48" t="s">
        <v>14</v>
      </c>
    </row>
    <row r="49" spans="1:9" ht="15">
      <c r="A49" s="2">
        <v>46</v>
      </c>
      <c r="B49" s="7" t="s">
        <v>2562</v>
      </c>
      <c r="C49" s="15" t="s">
        <v>2592</v>
      </c>
      <c r="D49" s="13" t="s">
        <v>1015</v>
      </c>
      <c r="E49" s="14" t="s">
        <v>252</v>
      </c>
      <c r="F49" s="15">
        <v>117534150030</v>
      </c>
      <c r="G49" s="7" t="str">
        <f t="shared" si="0"/>
        <v>117534150030@r6-1.deped.gov.ph</v>
      </c>
      <c r="H49" s="8" t="str">
        <f t="shared" si="1"/>
        <v>magallanes,302732</v>
      </c>
      <c r="I49" t="s">
        <v>14</v>
      </c>
    </row>
    <row r="50" spans="1:9" ht="15">
      <c r="A50" s="2">
        <v>47</v>
      </c>
      <c r="B50" s="7" t="s">
        <v>2562</v>
      </c>
      <c r="C50" s="15" t="s">
        <v>338</v>
      </c>
      <c r="D50" s="13" t="s">
        <v>2593</v>
      </c>
      <c r="E50" s="14" t="s">
        <v>239</v>
      </c>
      <c r="F50" s="15">
        <v>117548150031</v>
      </c>
      <c r="G50" s="7" t="str">
        <f t="shared" si="0"/>
        <v>117548150031@r6-1.deped.gov.ph</v>
      </c>
      <c r="H50" s="8" t="str">
        <f t="shared" si="1"/>
        <v>malunes,302732</v>
      </c>
      <c r="I50" t="s">
        <v>14</v>
      </c>
    </row>
    <row r="51" spans="1:9" ht="15">
      <c r="A51" s="2">
        <v>48</v>
      </c>
      <c r="B51" s="7" t="s">
        <v>2562</v>
      </c>
      <c r="C51" s="15" t="s">
        <v>2594</v>
      </c>
      <c r="D51" s="13" t="s">
        <v>2595</v>
      </c>
      <c r="E51" s="14" t="s">
        <v>234</v>
      </c>
      <c r="F51" s="15">
        <v>117557140016</v>
      </c>
      <c r="G51" s="7" t="str">
        <f t="shared" si="0"/>
        <v>117557140016@r6-1.deped.gov.ph</v>
      </c>
      <c r="H51" s="8" t="str">
        <f t="shared" si="1"/>
        <v>penonia,302732</v>
      </c>
      <c r="I51" t="s">
        <v>14</v>
      </c>
    </row>
    <row r="52" spans="1:9" ht="15">
      <c r="A52" s="2">
        <v>49</v>
      </c>
      <c r="B52" s="7" t="s">
        <v>2562</v>
      </c>
      <c r="C52" s="15" t="s">
        <v>2596</v>
      </c>
      <c r="D52" s="13" t="s">
        <v>2597</v>
      </c>
      <c r="E52" s="14" t="s">
        <v>242</v>
      </c>
      <c r="F52" s="15">
        <v>117556150016</v>
      </c>
      <c r="G52" s="7" t="str">
        <f t="shared" si="0"/>
        <v>117556150016@r6-1.deped.gov.ph</v>
      </c>
      <c r="H52" s="8" t="str">
        <f t="shared" si="1"/>
        <v>siasat,302732</v>
      </c>
    </row>
    <row r="53" spans="1:9" ht="14.25">
      <c r="A53" s="2">
        <v>50</v>
      </c>
      <c r="B53" s="7"/>
      <c r="C53" s="18"/>
      <c r="D53" s="7"/>
      <c r="E53" s="8"/>
      <c r="F53" s="18"/>
      <c r="G53" s="7" t="str">
        <f t="shared" si="0"/>
        <v/>
      </c>
      <c r="H53" s="8" t="str">
        <f t="shared" si="1"/>
        <v/>
      </c>
    </row>
    <row r="54" spans="1:9" ht="14.25">
      <c r="A54" s="2">
        <v>51</v>
      </c>
      <c r="B54" s="7"/>
      <c r="C54" s="19"/>
      <c r="D54" s="7"/>
      <c r="E54" s="8"/>
      <c r="F54" s="19"/>
      <c r="G54" s="7" t="str">
        <f t="shared" si="0"/>
        <v/>
      </c>
      <c r="H54" s="8"/>
    </row>
    <row r="55" spans="1:9" ht="14.25">
      <c r="A55" s="2">
        <v>52</v>
      </c>
      <c r="B55" s="7"/>
      <c r="C55" s="18"/>
      <c r="D55" s="7"/>
      <c r="E55" s="8"/>
      <c r="F55" s="18"/>
      <c r="G55" s="7" t="str">
        <f t="shared" si="0"/>
        <v/>
      </c>
      <c r="H55" s="8"/>
    </row>
    <row r="56" spans="1:9" ht="14.25">
      <c r="A56" s="2">
        <v>53</v>
      </c>
      <c r="B56" s="7"/>
      <c r="C56" s="19"/>
      <c r="D56" s="7"/>
      <c r="E56" s="8"/>
      <c r="F56" s="19"/>
      <c r="G56" s="7" t="str">
        <f t="shared" si="0"/>
        <v/>
      </c>
      <c r="H56" s="8"/>
    </row>
    <row r="57" spans="1:9" ht="14.25">
      <c r="A57" s="2">
        <v>54</v>
      </c>
      <c r="B57" s="7"/>
      <c r="C57" s="18"/>
      <c r="D57" s="7"/>
      <c r="E57" s="8"/>
      <c r="F57" s="18"/>
      <c r="G57" s="7" t="str">
        <f t="shared" si="0"/>
        <v/>
      </c>
      <c r="H57" s="8"/>
    </row>
    <row r="58" spans="1:9" ht="14.25">
      <c r="A58" s="2">
        <v>55</v>
      </c>
      <c r="B58" s="7"/>
      <c r="C58" s="19"/>
      <c r="D58" s="7"/>
      <c r="E58" s="8"/>
      <c r="F58" s="19"/>
      <c r="G58" s="7" t="str">
        <f t="shared" si="0"/>
        <v/>
      </c>
      <c r="H58" s="8"/>
    </row>
    <row r="59" spans="1:9" ht="14.25">
      <c r="A59" s="2">
        <v>56</v>
      </c>
      <c r="B59" s="7"/>
      <c r="C59" s="18"/>
      <c r="D59" s="7"/>
      <c r="E59" s="8"/>
      <c r="F59" s="18"/>
      <c r="G59" s="7" t="str">
        <f t="shared" si="0"/>
        <v/>
      </c>
      <c r="H59" s="8"/>
    </row>
    <row r="60" spans="1:9" ht="14.25">
      <c r="A60" s="2">
        <v>57</v>
      </c>
      <c r="B60" s="7"/>
      <c r="C60" s="19"/>
      <c r="D60" s="7"/>
      <c r="E60" s="8"/>
      <c r="F60" s="19"/>
      <c r="G60" s="7" t="str">
        <f t="shared" si="0"/>
        <v/>
      </c>
      <c r="H60" s="8"/>
    </row>
    <row r="61" spans="1:9" ht="14.25">
      <c r="A61" s="2">
        <v>58</v>
      </c>
      <c r="B61" s="7"/>
      <c r="C61" s="18"/>
      <c r="D61" s="7"/>
      <c r="E61" s="8"/>
      <c r="F61" s="18"/>
      <c r="G61" s="7" t="str">
        <f t="shared" si="0"/>
        <v/>
      </c>
      <c r="H61" s="8"/>
    </row>
    <row r="62" spans="1:9" ht="12.75">
      <c r="A62" s="2">
        <v>59</v>
      </c>
      <c r="B62" s="7"/>
      <c r="C62" s="7"/>
      <c r="D62" s="7"/>
      <c r="E62" s="8"/>
      <c r="F62" s="8"/>
      <c r="G62" s="7" t="str">
        <f t="shared" si="0"/>
        <v/>
      </c>
      <c r="H62" s="8"/>
    </row>
    <row r="63" spans="1:9" ht="12.75">
      <c r="A63" s="2">
        <v>60</v>
      </c>
      <c r="B63" s="7"/>
      <c r="C63" s="7"/>
      <c r="D63" s="7"/>
      <c r="E63" s="8"/>
      <c r="F63" s="8"/>
      <c r="G63" s="7" t="str">
        <f t="shared" si="0"/>
        <v/>
      </c>
      <c r="H63" s="8"/>
    </row>
    <row r="64" spans="1:9" ht="12.75">
      <c r="A64" s="2">
        <v>61</v>
      </c>
      <c r="B64" s="7"/>
      <c r="C64" s="7"/>
      <c r="D64" s="7"/>
      <c r="E64" s="8"/>
      <c r="F64" s="8"/>
      <c r="G64" s="7" t="str">
        <f t="shared" si="0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0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0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ref="G261:G503" si="2">IF(F261="","",F261&amp;"@r6-1.deped.gov.ph")</f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2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2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2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2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2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2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2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2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2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2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2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2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2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2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2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2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2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2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2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2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2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2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2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2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2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2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2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2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2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2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2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2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2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2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2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2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2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2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2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2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2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2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2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2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2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2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2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2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2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2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2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2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2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2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2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2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2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2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2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2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2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2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2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2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2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2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2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2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2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2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2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2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2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2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2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2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2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2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2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2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2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2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2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2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2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2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2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2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2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2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2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2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2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2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2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2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2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2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2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2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2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2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2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2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2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2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2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2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2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2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2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2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2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2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2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2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2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2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2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2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2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2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2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2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2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2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2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2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2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2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2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2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2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2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2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2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2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2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2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2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2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2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2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2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2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2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2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2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2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2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2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2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2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2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2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2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2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2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2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2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2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2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2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2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2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2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2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2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2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2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2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2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2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2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2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2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2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2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2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2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2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2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2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2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2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2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2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2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2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2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2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2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2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2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2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2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2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2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2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2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2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2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2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2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2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2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2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2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2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2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2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2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2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2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2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2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2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2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2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2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2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2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2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2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2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2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2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2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2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2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2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2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2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2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2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2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2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2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2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2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2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2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hyperlinks>
    <hyperlink ref="I14" r:id="rId1" tooltip="mailto:117556140013@r6-1.deped.gov.ph" xr:uid="{00000000-0004-0000-0F00-000000000000}"/>
    <hyperlink ref="I19" r:id="rId2" tooltip="mailto:117548140042@r6-1.deped.gov.ph" xr:uid="{00000000-0004-0000-0F00-000001000000}"/>
    <hyperlink ref="I16" r:id="rId3" tooltip="mailto:117532150005@r6-1.deped.gov.ph" xr:uid="{00000000-0004-0000-0F00-000002000000}"/>
    <hyperlink ref="I17" r:id="rId4" tooltip="mailto:117556140014@r6-1.deped.gov.ph" xr:uid="{00000000-0004-0000-0F00-000003000000}"/>
    <hyperlink ref="I20" r:id="rId5" xr:uid="{00000000-0004-0000-0F00-000004000000}"/>
    <hyperlink ref="I24" r:id="rId6" tooltip="mailto:117536150096@r6-1.deped.gov.ph" xr:uid="{00000000-0004-0000-0F00-000005000000}"/>
    <hyperlink ref="I23" r:id="rId7" tooltip="mailto:117556150013@r6-1.deped.gov.ph" xr:uid="{00000000-0004-0000-0F00-000006000000}"/>
    <hyperlink ref="I22" r:id="rId8" tooltip="mailto:117707150093@r6-1.deped.gov.ph" xr:uid="{00000000-0004-0000-0F00-000007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2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2598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7"/>
      <c r="C4" s="7"/>
      <c r="D4" s="7"/>
      <c r="E4" s="8"/>
      <c r="F4" s="8"/>
      <c r="G4" s="7" t="str">
        <f t="shared" ref="G4:G258" si="0">IF(F4="","",F4&amp;"@r6-1.deped.gov.ph")</f>
        <v/>
      </c>
      <c r="H4" s="8"/>
    </row>
    <row r="5" spans="1:11" ht="12.75">
      <c r="A5" s="2">
        <v>2</v>
      </c>
      <c r="B5" s="7"/>
      <c r="C5" s="7"/>
      <c r="D5" s="7"/>
      <c r="E5" s="8"/>
      <c r="F5" s="8"/>
      <c r="G5" s="7" t="str">
        <f t="shared" si="0"/>
        <v/>
      </c>
      <c r="H5" s="8"/>
    </row>
    <row r="6" spans="1:11" ht="12.75">
      <c r="A6" s="2">
        <v>3</v>
      </c>
      <c r="B6" s="7"/>
      <c r="C6" s="7"/>
      <c r="D6" s="7"/>
      <c r="E6" s="8"/>
      <c r="F6" s="8"/>
      <c r="G6" s="7" t="str">
        <f t="shared" si="0"/>
        <v/>
      </c>
      <c r="H6" s="8"/>
    </row>
    <row r="7" spans="1:11" ht="12.75">
      <c r="A7" s="2">
        <v>4</v>
      </c>
      <c r="B7" s="7"/>
      <c r="C7" s="7"/>
      <c r="D7" s="7"/>
      <c r="E7" s="8"/>
      <c r="F7" s="8"/>
      <c r="G7" s="7" t="str">
        <f t="shared" si="0"/>
        <v/>
      </c>
      <c r="H7" s="8"/>
    </row>
    <row r="8" spans="1:11" ht="12.75">
      <c r="A8" s="2">
        <v>5</v>
      </c>
      <c r="B8" s="7"/>
      <c r="C8" s="7"/>
      <c r="D8" s="7"/>
      <c r="E8" s="8"/>
      <c r="F8" s="8"/>
      <c r="G8" s="7" t="str">
        <f t="shared" si="0"/>
        <v/>
      </c>
      <c r="H8" s="8"/>
    </row>
    <row r="9" spans="1:11" ht="12.75">
      <c r="A9" s="2">
        <v>6</v>
      </c>
      <c r="B9" s="7"/>
      <c r="C9" s="7"/>
      <c r="D9" s="7"/>
      <c r="E9" s="8"/>
      <c r="F9" s="8"/>
      <c r="G9" s="7" t="str">
        <f t="shared" si="0"/>
        <v/>
      </c>
      <c r="H9" s="8"/>
    </row>
    <row r="10" spans="1:11" ht="12.75">
      <c r="A10" s="2">
        <v>7</v>
      </c>
      <c r="B10" s="7"/>
      <c r="C10" s="7"/>
      <c r="D10" s="7"/>
      <c r="E10" s="8"/>
      <c r="F10" s="8"/>
      <c r="G10" s="7" t="str">
        <f t="shared" si="0"/>
        <v/>
      </c>
      <c r="H10" s="8"/>
    </row>
    <row r="11" spans="1:11" ht="12.75">
      <c r="A11" s="2">
        <v>8</v>
      </c>
      <c r="B11" s="7"/>
      <c r="C11" s="7"/>
      <c r="D11" s="7"/>
      <c r="E11" s="8"/>
      <c r="F11" s="8"/>
      <c r="G11" s="7" t="str">
        <f t="shared" si="0"/>
        <v/>
      </c>
      <c r="H11" s="8"/>
    </row>
    <row r="12" spans="1:11" ht="12.75">
      <c r="A12" s="2">
        <v>9</v>
      </c>
      <c r="B12" s="7"/>
      <c r="C12" s="7"/>
      <c r="D12" s="7"/>
      <c r="E12" s="8"/>
      <c r="F12" s="8"/>
      <c r="G12" s="7" t="str">
        <f t="shared" si="0"/>
        <v/>
      </c>
      <c r="H12" s="8"/>
    </row>
    <row r="13" spans="1:11" ht="12.75">
      <c r="A13" s="2">
        <v>10</v>
      </c>
      <c r="B13" s="7"/>
      <c r="C13" s="7"/>
      <c r="D13" s="7"/>
      <c r="E13" s="8"/>
      <c r="F13" s="8"/>
      <c r="G13" s="7" t="str">
        <f t="shared" si="0"/>
        <v/>
      </c>
      <c r="H13" s="8"/>
    </row>
    <row r="14" spans="1:11" ht="12.75">
      <c r="A14" s="2">
        <v>11</v>
      </c>
      <c r="B14" s="7"/>
      <c r="C14" s="7"/>
      <c r="D14" s="7"/>
      <c r="E14" s="8"/>
      <c r="F14" s="8"/>
      <c r="G14" s="7" t="str">
        <f t="shared" si="0"/>
        <v/>
      </c>
      <c r="H14" s="8"/>
    </row>
    <row r="15" spans="1:11" ht="12.75">
      <c r="A15" s="2">
        <v>12</v>
      </c>
      <c r="B15" s="7"/>
      <c r="C15" s="7"/>
      <c r="D15" s="7"/>
      <c r="E15" s="8"/>
      <c r="F15" s="8"/>
      <c r="G15" s="7" t="str">
        <f t="shared" si="0"/>
        <v/>
      </c>
      <c r="H15" s="8"/>
    </row>
    <row r="16" spans="1:11" ht="12.75">
      <c r="A16" s="2">
        <v>13</v>
      </c>
      <c r="B16" s="7"/>
      <c r="C16" s="7"/>
      <c r="D16" s="7"/>
      <c r="E16" s="8"/>
      <c r="F16" s="8"/>
      <c r="G16" s="7" t="str">
        <f t="shared" si="0"/>
        <v/>
      </c>
      <c r="H16" s="8"/>
    </row>
    <row r="17" spans="1:8" ht="12.75">
      <c r="A17" s="2">
        <v>14</v>
      </c>
      <c r="B17" s="7"/>
      <c r="C17" s="7"/>
      <c r="D17" s="7"/>
      <c r="E17" s="8"/>
      <c r="F17" s="8"/>
      <c r="G17" s="7" t="str">
        <f t="shared" si="0"/>
        <v/>
      </c>
      <c r="H17" s="8"/>
    </row>
    <row r="18" spans="1:8" ht="12.75">
      <c r="A18" s="2">
        <v>15</v>
      </c>
      <c r="B18" s="7"/>
      <c r="C18" s="7"/>
      <c r="D18" s="7"/>
      <c r="E18" s="8"/>
      <c r="F18" s="8"/>
      <c r="G18" s="7" t="str">
        <f t="shared" si="0"/>
        <v/>
      </c>
      <c r="H18" s="8"/>
    </row>
    <row r="19" spans="1:8" ht="12.75">
      <c r="A19" s="2">
        <v>16</v>
      </c>
      <c r="B19" s="7"/>
      <c r="C19" s="7"/>
      <c r="D19" s="7"/>
      <c r="E19" s="8"/>
      <c r="F19" s="8"/>
      <c r="G19" s="7" t="str">
        <f t="shared" si="0"/>
        <v/>
      </c>
      <c r="H19" s="8"/>
    </row>
    <row r="20" spans="1:8" ht="12.75">
      <c r="A20" s="2">
        <v>17</v>
      </c>
      <c r="B20" s="7"/>
      <c r="C20" s="7"/>
      <c r="D20" s="7"/>
      <c r="E20" s="8"/>
      <c r="F20" s="8"/>
      <c r="G20" s="7" t="str">
        <f t="shared" si="0"/>
        <v/>
      </c>
      <c r="H20" s="8"/>
    </row>
    <row r="21" spans="1:8" ht="12.75">
      <c r="A21" s="2">
        <v>18</v>
      </c>
      <c r="B21" s="7"/>
      <c r="C21" s="7"/>
      <c r="D21" s="7"/>
      <c r="E21" s="8"/>
      <c r="F21" s="8"/>
      <c r="G21" s="7" t="str">
        <f t="shared" si="0"/>
        <v/>
      </c>
      <c r="H21" s="8"/>
    </row>
    <row r="22" spans="1:8" ht="12.75">
      <c r="A22" s="2">
        <v>19</v>
      </c>
      <c r="B22" s="7"/>
      <c r="C22" s="7"/>
      <c r="D22" s="7"/>
      <c r="E22" s="8"/>
      <c r="F22" s="8"/>
      <c r="G22" s="7" t="str">
        <f t="shared" si="0"/>
        <v/>
      </c>
      <c r="H22" s="8"/>
    </row>
    <row r="23" spans="1:8" ht="12.75">
      <c r="A23" s="2">
        <v>20</v>
      </c>
      <c r="B23" s="7"/>
      <c r="C23" s="7"/>
      <c r="D23" s="7"/>
      <c r="E23" s="8"/>
      <c r="F23" s="8"/>
      <c r="G23" s="7" t="str">
        <f t="shared" si="0"/>
        <v/>
      </c>
      <c r="H23" s="8"/>
    </row>
    <row r="24" spans="1:8" ht="12.75">
      <c r="A24" s="2">
        <v>21</v>
      </c>
      <c r="B24" s="7"/>
      <c r="C24" s="7"/>
      <c r="D24" s="7"/>
      <c r="E24" s="8"/>
      <c r="F24" s="8"/>
      <c r="G24" s="7" t="str">
        <f t="shared" si="0"/>
        <v/>
      </c>
      <c r="H24" s="8"/>
    </row>
    <row r="25" spans="1:8" ht="12.75">
      <c r="A25" s="2">
        <v>22</v>
      </c>
      <c r="B25" s="7"/>
      <c r="C25" s="7"/>
      <c r="D25" s="7"/>
      <c r="E25" s="8"/>
      <c r="F25" s="8"/>
      <c r="G25" s="7" t="str">
        <f t="shared" si="0"/>
        <v/>
      </c>
      <c r="H25" s="8"/>
    </row>
    <row r="26" spans="1:8" ht="12.75">
      <c r="A26" s="2">
        <v>23</v>
      </c>
      <c r="B26" s="7"/>
      <c r="C26" s="7"/>
      <c r="D26" s="7"/>
      <c r="E26" s="8"/>
      <c r="F26" s="8"/>
      <c r="G26" s="7" t="str">
        <f t="shared" si="0"/>
        <v/>
      </c>
      <c r="H26" s="8"/>
    </row>
    <row r="27" spans="1:8" ht="12.75">
      <c r="A27" s="2">
        <v>24</v>
      </c>
      <c r="B27" s="7"/>
      <c r="C27" s="7"/>
      <c r="D27" s="7"/>
      <c r="E27" s="8"/>
      <c r="F27" s="8"/>
      <c r="G27" s="7" t="str">
        <f t="shared" si="0"/>
        <v/>
      </c>
      <c r="H27" s="8"/>
    </row>
    <row r="28" spans="1:8" ht="12.75">
      <c r="A28" s="2">
        <v>25</v>
      </c>
      <c r="B28" s="7"/>
      <c r="C28" s="7"/>
      <c r="D28" s="7"/>
      <c r="E28" s="8"/>
      <c r="F28" s="8"/>
      <c r="G28" s="7" t="str">
        <f t="shared" si="0"/>
        <v/>
      </c>
      <c r="H28" s="8"/>
    </row>
    <row r="29" spans="1:8" ht="12.75">
      <c r="A29" s="2">
        <v>26</v>
      </c>
      <c r="B29" s="7"/>
      <c r="C29" s="7"/>
      <c r="D29" s="7"/>
      <c r="E29" s="8"/>
      <c r="F29" s="8"/>
      <c r="G29" s="7" t="str">
        <f t="shared" si="0"/>
        <v/>
      </c>
      <c r="H29" s="8"/>
    </row>
    <row r="30" spans="1:8" ht="12.75">
      <c r="A30" s="2">
        <v>27</v>
      </c>
      <c r="B30" s="7"/>
      <c r="C30" s="7"/>
      <c r="D30" s="7"/>
      <c r="E30" s="8"/>
      <c r="F30" s="8"/>
      <c r="G30" s="7" t="str">
        <f t="shared" si="0"/>
        <v/>
      </c>
      <c r="H30" s="8"/>
    </row>
    <row r="31" spans="1:8" ht="12.75">
      <c r="A31" s="2">
        <v>28</v>
      </c>
      <c r="B31" s="7"/>
      <c r="C31" s="7"/>
      <c r="D31" s="7"/>
      <c r="E31" s="8"/>
      <c r="F31" s="8"/>
      <c r="G31" s="7" t="str">
        <f t="shared" si="0"/>
        <v/>
      </c>
      <c r="H31" s="8"/>
    </row>
    <row r="32" spans="1:8" ht="12.75">
      <c r="A32" s="2">
        <v>29</v>
      </c>
      <c r="B32" s="7"/>
      <c r="C32" s="7"/>
      <c r="D32" s="7"/>
      <c r="E32" s="8"/>
      <c r="F32" s="8"/>
      <c r="G32" s="7" t="str">
        <f t="shared" si="0"/>
        <v/>
      </c>
      <c r="H32" s="8"/>
    </row>
    <row r="33" spans="1:8" ht="12.75">
      <c r="A33" s="2">
        <v>30</v>
      </c>
      <c r="B33" s="7"/>
      <c r="C33" s="7"/>
      <c r="D33" s="7"/>
      <c r="E33" s="8"/>
      <c r="F33" s="8"/>
      <c r="G33" s="7" t="str">
        <f t="shared" si="0"/>
        <v/>
      </c>
      <c r="H33" s="8"/>
    </row>
    <row r="34" spans="1:8" ht="12.75">
      <c r="A34" s="2">
        <v>31</v>
      </c>
      <c r="B34" s="7"/>
      <c r="C34" s="7"/>
      <c r="D34" s="7"/>
      <c r="E34" s="8"/>
      <c r="F34" s="8"/>
      <c r="G34" s="7" t="str">
        <f t="shared" si="0"/>
        <v/>
      </c>
      <c r="H34" s="8"/>
    </row>
    <row r="35" spans="1:8" ht="12.75">
      <c r="A35" s="2">
        <v>32</v>
      </c>
      <c r="B35" s="7"/>
      <c r="C35" s="7"/>
      <c r="D35" s="7"/>
      <c r="E35" s="8"/>
      <c r="F35" s="8"/>
      <c r="G35" s="7" t="str">
        <f t="shared" si="0"/>
        <v/>
      </c>
      <c r="H35" s="8"/>
    </row>
    <row r="36" spans="1:8" ht="12.75">
      <c r="A36" s="2">
        <v>33</v>
      </c>
      <c r="B36" s="7"/>
      <c r="C36" s="7"/>
      <c r="D36" s="7"/>
      <c r="E36" s="8"/>
      <c r="F36" s="8"/>
      <c r="G36" s="7" t="str">
        <f t="shared" si="0"/>
        <v/>
      </c>
      <c r="H36" s="8"/>
    </row>
    <row r="37" spans="1:8" ht="12.75">
      <c r="A37" s="2">
        <v>34</v>
      </c>
      <c r="B37" s="7"/>
      <c r="C37" s="7"/>
      <c r="D37" s="7"/>
      <c r="E37" s="8"/>
      <c r="F37" s="8"/>
      <c r="G37" s="7" t="str">
        <f t="shared" si="0"/>
        <v/>
      </c>
      <c r="H37" s="8"/>
    </row>
    <row r="38" spans="1:8" ht="12.75">
      <c r="A38" s="2">
        <v>35</v>
      </c>
      <c r="B38" s="7"/>
      <c r="C38" s="7"/>
      <c r="D38" s="7"/>
      <c r="E38" s="8"/>
      <c r="F38" s="8"/>
      <c r="G38" s="7" t="str">
        <f t="shared" si="0"/>
        <v/>
      </c>
      <c r="H38" s="8"/>
    </row>
    <row r="39" spans="1:8" ht="12.75">
      <c r="A39" s="2">
        <v>36</v>
      </c>
      <c r="B39" s="7"/>
      <c r="C39" s="7"/>
      <c r="D39" s="7"/>
      <c r="E39" s="8"/>
      <c r="F39" s="8"/>
      <c r="G39" s="7" t="str">
        <f t="shared" si="0"/>
        <v/>
      </c>
      <c r="H39" s="8"/>
    </row>
    <row r="40" spans="1:8" ht="12.75">
      <c r="A40" s="2">
        <v>37</v>
      </c>
      <c r="B40" s="7"/>
      <c r="C40" s="7"/>
      <c r="D40" s="7"/>
      <c r="E40" s="8"/>
      <c r="F40" s="8"/>
      <c r="G40" s="7" t="str">
        <f t="shared" si="0"/>
        <v/>
      </c>
      <c r="H40" s="8"/>
    </row>
    <row r="41" spans="1:8" ht="12.75">
      <c r="A41" s="2">
        <v>38</v>
      </c>
      <c r="B41" s="7"/>
      <c r="C41" s="7"/>
      <c r="D41" s="7"/>
      <c r="E41" s="8"/>
      <c r="F41" s="8"/>
      <c r="G41" s="7" t="str">
        <f t="shared" si="0"/>
        <v/>
      </c>
      <c r="H41" s="8"/>
    </row>
    <row r="42" spans="1:8" ht="12.75">
      <c r="A42" s="2">
        <v>39</v>
      </c>
      <c r="B42" s="7"/>
      <c r="C42" s="7"/>
      <c r="D42" s="7"/>
      <c r="E42" s="8"/>
      <c r="F42" s="8"/>
      <c r="G42" s="7" t="str">
        <f t="shared" si="0"/>
        <v/>
      </c>
      <c r="H42" s="8"/>
    </row>
    <row r="43" spans="1:8" ht="12.75">
      <c r="A43" s="2">
        <v>40</v>
      </c>
      <c r="B43" s="7"/>
      <c r="C43" s="7"/>
      <c r="D43" s="7"/>
      <c r="E43" s="8"/>
      <c r="F43" s="8"/>
      <c r="G43" s="7" t="str">
        <f t="shared" si="0"/>
        <v/>
      </c>
      <c r="H43" s="8"/>
    </row>
    <row r="44" spans="1:8" ht="12.75">
      <c r="A44" s="2">
        <v>41</v>
      </c>
      <c r="B44" s="7"/>
      <c r="C44" s="7"/>
      <c r="D44" s="7"/>
      <c r="E44" s="8"/>
      <c r="F44" s="8"/>
      <c r="G44" s="7" t="str">
        <f t="shared" si="0"/>
        <v/>
      </c>
      <c r="H44" s="8"/>
    </row>
    <row r="45" spans="1:8" ht="12.75">
      <c r="A45" s="2">
        <v>42</v>
      </c>
      <c r="B45" s="7"/>
      <c r="C45" s="7"/>
      <c r="D45" s="7"/>
      <c r="E45" s="8"/>
      <c r="F45" s="8"/>
      <c r="G45" s="7" t="str">
        <f t="shared" si="0"/>
        <v/>
      </c>
      <c r="H45" s="8"/>
    </row>
    <row r="46" spans="1:8" ht="12.75">
      <c r="A46" s="2">
        <v>43</v>
      </c>
      <c r="B46" s="7"/>
      <c r="C46" s="7"/>
      <c r="D46" s="7"/>
      <c r="E46" s="8"/>
      <c r="F46" s="8"/>
      <c r="G46" s="7" t="str">
        <f t="shared" si="0"/>
        <v/>
      </c>
      <c r="H46" s="8"/>
    </row>
    <row r="47" spans="1:8" ht="12.75">
      <c r="A47" s="2">
        <v>44</v>
      </c>
      <c r="B47" s="7"/>
      <c r="C47" s="7"/>
      <c r="D47" s="7"/>
      <c r="E47" s="8"/>
      <c r="F47" s="8"/>
      <c r="G47" s="7" t="str">
        <f t="shared" si="0"/>
        <v/>
      </c>
      <c r="H47" s="8"/>
    </row>
    <row r="48" spans="1:8" ht="12.75">
      <c r="A48" s="2">
        <v>45</v>
      </c>
      <c r="B48" s="7"/>
      <c r="C48" s="7"/>
      <c r="D48" s="7"/>
      <c r="E48" s="8"/>
      <c r="F48" s="8"/>
      <c r="G48" s="7" t="str">
        <f t="shared" si="0"/>
        <v/>
      </c>
      <c r="H48" s="8"/>
    </row>
    <row r="49" spans="1:8" ht="12.75">
      <c r="A49" s="2">
        <v>46</v>
      </c>
      <c r="B49" s="7"/>
      <c r="C49" s="7"/>
      <c r="D49" s="7"/>
      <c r="E49" s="8"/>
      <c r="F49" s="8"/>
      <c r="G49" s="7" t="str">
        <f t="shared" si="0"/>
        <v/>
      </c>
      <c r="H49" s="8"/>
    </row>
    <row r="50" spans="1:8" ht="12.75">
      <c r="A50" s="2">
        <v>47</v>
      </c>
      <c r="B50" s="7"/>
      <c r="C50" s="7"/>
      <c r="D50" s="7"/>
      <c r="E50" s="8"/>
      <c r="F50" s="8"/>
      <c r="G50" s="7" t="str">
        <f t="shared" si="0"/>
        <v/>
      </c>
      <c r="H50" s="8"/>
    </row>
    <row r="51" spans="1:8" ht="12.75">
      <c r="A51" s="2">
        <v>48</v>
      </c>
      <c r="B51" s="7"/>
      <c r="C51" s="7"/>
      <c r="D51" s="7"/>
      <c r="E51" s="8"/>
      <c r="F51" s="8"/>
      <c r="G51" s="7" t="str">
        <f t="shared" si="0"/>
        <v/>
      </c>
      <c r="H51" s="8"/>
    </row>
    <row r="52" spans="1:8" ht="12.75">
      <c r="A52" s="2">
        <v>49</v>
      </c>
      <c r="B52" s="7"/>
      <c r="C52" s="7"/>
      <c r="D52" s="7"/>
      <c r="E52" s="8"/>
      <c r="F52" s="8"/>
      <c r="G52" s="7" t="str">
        <f t="shared" si="0"/>
        <v/>
      </c>
      <c r="H52" s="8"/>
    </row>
    <row r="53" spans="1:8" ht="12.75">
      <c r="A53" s="2">
        <v>50</v>
      </c>
      <c r="B53" s="7"/>
      <c r="C53" s="7"/>
      <c r="D53" s="7"/>
      <c r="E53" s="8"/>
      <c r="F53" s="8"/>
      <c r="G53" s="7" t="str">
        <f t="shared" si="0"/>
        <v/>
      </c>
      <c r="H53" s="8"/>
    </row>
    <row r="54" spans="1:8" ht="12.75">
      <c r="A54" s="2">
        <v>51</v>
      </c>
      <c r="B54" s="7"/>
      <c r="C54" s="7"/>
      <c r="D54" s="7"/>
      <c r="E54" s="8"/>
      <c r="F54" s="8"/>
      <c r="G54" s="7" t="str">
        <f t="shared" si="0"/>
        <v/>
      </c>
      <c r="H54" s="8"/>
    </row>
    <row r="55" spans="1:8" ht="12.75">
      <c r="A55" s="2">
        <v>52</v>
      </c>
      <c r="B55" s="7"/>
      <c r="C55" s="7"/>
      <c r="D55" s="7"/>
      <c r="E55" s="8"/>
      <c r="F55" s="8"/>
      <c r="G55" s="7" t="str">
        <f t="shared" si="0"/>
        <v/>
      </c>
      <c r="H55" s="8"/>
    </row>
    <row r="56" spans="1:8" ht="12.75">
      <c r="A56" s="2">
        <v>53</v>
      </c>
      <c r="B56" s="7"/>
      <c r="C56" s="7"/>
      <c r="D56" s="7"/>
      <c r="E56" s="8"/>
      <c r="F56" s="8"/>
      <c r="G56" s="7" t="str">
        <f t="shared" si="0"/>
        <v/>
      </c>
      <c r="H56" s="8"/>
    </row>
    <row r="57" spans="1:8" ht="12.75">
      <c r="A57" s="2">
        <v>54</v>
      </c>
      <c r="B57" s="7"/>
      <c r="C57" s="7"/>
      <c r="D57" s="7"/>
      <c r="E57" s="8"/>
      <c r="F57" s="8"/>
      <c r="G57" s="7" t="str">
        <f t="shared" si="0"/>
        <v/>
      </c>
      <c r="H57" s="8"/>
    </row>
    <row r="58" spans="1:8" ht="12.75">
      <c r="A58" s="2">
        <v>55</v>
      </c>
      <c r="B58" s="7"/>
      <c r="C58" s="7"/>
      <c r="D58" s="7"/>
      <c r="E58" s="8"/>
      <c r="F58" s="8"/>
      <c r="G58" s="7" t="str">
        <f t="shared" si="0"/>
        <v/>
      </c>
      <c r="H58" s="8"/>
    </row>
    <row r="59" spans="1:8" ht="12.75">
      <c r="A59" s="2">
        <v>56</v>
      </c>
      <c r="B59" s="7"/>
      <c r="C59" s="7"/>
      <c r="D59" s="7"/>
      <c r="E59" s="8"/>
      <c r="F59" s="8"/>
      <c r="G59" s="7" t="str">
        <f t="shared" si="0"/>
        <v/>
      </c>
      <c r="H59" s="8"/>
    </row>
    <row r="60" spans="1:8" ht="12.75">
      <c r="A60" s="2">
        <v>57</v>
      </c>
      <c r="B60" s="7"/>
      <c r="C60" s="7"/>
      <c r="D60" s="7"/>
      <c r="E60" s="8"/>
      <c r="F60" s="8"/>
      <c r="G60" s="7" t="str">
        <f t="shared" si="0"/>
        <v/>
      </c>
      <c r="H60" s="8"/>
    </row>
    <row r="61" spans="1:8" ht="12.75">
      <c r="A61" s="2">
        <v>58</v>
      </c>
      <c r="B61" s="7"/>
      <c r="C61" s="7"/>
      <c r="D61" s="7"/>
      <c r="E61" s="8"/>
      <c r="F61" s="8"/>
      <c r="G61" s="7" t="str">
        <f t="shared" si="0"/>
        <v/>
      </c>
      <c r="H61" s="8"/>
    </row>
    <row r="62" spans="1:8" ht="12.75">
      <c r="A62" s="2">
        <v>59</v>
      </c>
      <c r="B62" s="7"/>
      <c r="C62" s="7"/>
      <c r="D62" s="7"/>
      <c r="E62" s="8"/>
      <c r="F62" s="8"/>
      <c r="G62" s="7" t="str">
        <f t="shared" si="0"/>
        <v/>
      </c>
      <c r="H62" s="8"/>
    </row>
    <row r="63" spans="1:8" ht="12.75">
      <c r="A63" s="2">
        <v>60</v>
      </c>
      <c r="B63" s="7"/>
      <c r="C63" s="7"/>
      <c r="D63" s="7"/>
      <c r="E63" s="8"/>
      <c r="F63" s="8"/>
      <c r="G63" s="7" t="str">
        <f t="shared" si="0"/>
        <v/>
      </c>
      <c r="H63" s="8"/>
    </row>
    <row r="64" spans="1:8" ht="12.75">
      <c r="A64" s="2">
        <v>61</v>
      </c>
      <c r="B64" s="7"/>
      <c r="C64" s="7"/>
      <c r="D64" s="7"/>
      <c r="E64" s="8"/>
      <c r="F64" s="8"/>
      <c r="G64" s="7" t="str">
        <f t="shared" si="0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0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0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0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0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0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0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0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0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0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0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0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0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0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0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0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0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0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0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0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0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0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0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0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0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0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0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0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0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0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0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0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0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0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0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0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0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0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0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0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0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0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0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0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0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0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0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0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0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0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0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0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0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0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0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0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0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0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0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0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0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0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0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0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0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0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0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0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0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0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0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0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0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0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0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0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0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0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0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0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0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0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0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0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0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0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0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0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0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0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0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0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0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0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0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0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0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0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0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0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0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0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0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0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0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0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0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0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0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0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0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0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0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0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0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0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0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0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0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0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0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0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0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0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0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0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0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0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0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0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0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0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0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0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0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0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0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0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0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0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0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0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0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0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0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0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0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0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0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0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0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0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0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0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0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0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0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0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0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0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0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0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0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0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0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0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0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0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0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0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0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0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0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0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0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0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0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0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0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0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0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0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0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0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0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0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0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0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0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0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0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0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0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0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0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ref="G259:G503" si="1">IF(F259="","",F259&amp;"@r6-1.deped.gov.ph")</f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1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1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1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1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1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1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1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1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1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1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1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1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1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1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1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1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1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1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1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1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1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1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1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si="1"/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1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1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1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1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1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1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1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1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1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1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1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1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1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1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1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1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1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1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1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1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1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1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1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1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1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1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1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1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1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1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1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1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1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1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1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1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1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1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1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1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1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1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1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1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1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1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1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1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1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1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1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1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1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1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1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1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1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1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1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1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1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1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1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1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1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1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1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1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1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1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1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1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1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1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1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1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1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1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1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1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1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1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1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1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1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1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1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1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1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1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1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1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1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1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1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1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1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1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1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1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1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1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1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1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1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1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1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1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1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1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1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1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1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1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1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1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1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1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1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1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1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1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1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1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1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1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1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1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1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1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1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1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1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1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1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1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1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1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1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1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1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1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1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1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1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1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1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1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1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1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1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1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1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1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1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1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1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1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1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1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1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1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1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1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1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1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1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1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1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1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1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1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1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1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1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1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1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1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1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1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1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1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1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1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1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1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1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1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1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1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1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1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1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1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1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1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1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1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1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1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1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1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1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1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1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1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1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1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1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1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1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1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1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1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1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1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1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1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1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1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1002"/>
  <sheetViews>
    <sheetView topLeftCell="D1" workbookViewId="0">
      <pane ySplit="3" topLeftCell="A4" activePane="bottomLeft" state="frozen"/>
      <selection pane="bottomLeft" activeCell="F17" sqref="F17"/>
    </sheetView>
  </sheetViews>
  <sheetFormatPr defaultColWidth="12.5703125" defaultRowHeight="15.75" customHeight="1"/>
  <cols>
    <col min="1" max="1" width="8" customWidth="1"/>
    <col min="2" max="3" width="37.5703125" customWidth="1"/>
    <col min="4" max="4" width="32.42578125" customWidth="1"/>
    <col min="6" max="6" width="42.85546875" customWidth="1"/>
    <col min="7" max="7" width="42.28515625" customWidth="1"/>
    <col min="8" max="8" width="46" customWidth="1"/>
  </cols>
  <sheetData>
    <row r="1" spans="1:11" ht="36.75" customHeight="1">
      <c r="A1" s="56" t="s">
        <v>2599</v>
      </c>
      <c r="B1" s="57"/>
      <c r="C1" s="57"/>
      <c r="D1" s="57"/>
      <c r="E1" s="57"/>
      <c r="F1" s="57"/>
      <c r="G1" s="57"/>
      <c r="H1" s="58"/>
      <c r="I1" s="10"/>
      <c r="J1" s="10"/>
      <c r="K1" s="10"/>
    </row>
    <row r="2" spans="1:11" ht="12.75">
      <c r="A2" s="62" t="s">
        <v>1</v>
      </c>
      <c r="B2" s="63" t="s">
        <v>2</v>
      </c>
      <c r="C2" s="59" t="s">
        <v>3</v>
      </c>
      <c r="D2" s="57"/>
      <c r="E2" s="58"/>
      <c r="F2" s="63" t="s">
        <v>4</v>
      </c>
      <c r="G2" s="63" t="s">
        <v>5</v>
      </c>
      <c r="H2" s="63" t="s">
        <v>6</v>
      </c>
    </row>
    <row r="3" spans="1:11" ht="12.75">
      <c r="A3" s="61"/>
      <c r="B3" s="64"/>
      <c r="C3" s="1" t="s">
        <v>7</v>
      </c>
      <c r="D3" s="1" t="s">
        <v>8</v>
      </c>
      <c r="E3" s="1" t="s">
        <v>9</v>
      </c>
      <c r="F3" s="64"/>
      <c r="G3" s="64"/>
      <c r="H3" s="64"/>
    </row>
    <row r="4" spans="1:11" ht="12.75">
      <c r="A4" s="2">
        <v>1</v>
      </c>
      <c r="B4" s="3" t="s">
        <v>307</v>
      </c>
      <c r="C4" s="4" t="s">
        <v>2600</v>
      </c>
      <c r="D4" s="4" t="s">
        <v>2601</v>
      </c>
      <c r="E4" s="5" t="s">
        <v>294</v>
      </c>
      <c r="F4" s="6">
        <v>117539150001</v>
      </c>
      <c r="G4" s="7" t="str">
        <f t="shared" ref="G4:G27" si="0">IF(F4="","",F4&amp;"@r6-1.deped.gov.ph")</f>
        <v>117539150001@r6-1.deped.gov.ph</v>
      </c>
      <c r="H4" s="8" t="str">
        <f>IF(C4="","",LOWER(C4)&amp;",311407")</f>
        <v>ablaya,311407</v>
      </c>
      <c r="I4" t="s">
        <v>14</v>
      </c>
    </row>
    <row r="5" spans="1:11" ht="12.75">
      <c r="A5" s="2">
        <v>2</v>
      </c>
      <c r="B5" s="3" t="s">
        <v>307</v>
      </c>
      <c r="C5" s="4" t="s">
        <v>1020</v>
      </c>
      <c r="D5" s="4" t="s">
        <v>2602</v>
      </c>
      <c r="E5" s="5" t="s">
        <v>281</v>
      </c>
      <c r="F5" s="9">
        <v>117532150015</v>
      </c>
      <c r="G5" s="7" t="str">
        <f t="shared" si="0"/>
        <v>117532150015@r6-1.deped.gov.ph</v>
      </c>
      <c r="H5" s="8" t="str">
        <f t="shared" ref="H5:H27" si="1">IF(C5="","",LOWER(C5)&amp;",311407")</f>
        <v>amante,311407</v>
      </c>
      <c r="I5" t="s">
        <v>14</v>
      </c>
    </row>
    <row r="6" spans="1:11" ht="12.75">
      <c r="A6" s="2">
        <v>3</v>
      </c>
      <c r="B6" s="3" t="s">
        <v>307</v>
      </c>
      <c r="C6" s="4" t="s">
        <v>2603</v>
      </c>
      <c r="D6" s="4" t="s">
        <v>347</v>
      </c>
      <c r="E6" s="5" t="s">
        <v>294</v>
      </c>
      <c r="F6" s="9">
        <v>117539140024</v>
      </c>
      <c r="G6" s="7" t="str">
        <f t="shared" si="0"/>
        <v>117539140024@r6-1.deped.gov.ph</v>
      </c>
      <c r="H6" s="8" t="str">
        <f t="shared" si="1"/>
        <v>amparo,311407</v>
      </c>
      <c r="I6" t="s">
        <v>14</v>
      </c>
    </row>
    <row r="7" spans="1:11" ht="12.75">
      <c r="A7" s="2">
        <v>4</v>
      </c>
      <c r="B7" s="3" t="s">
        <v>307</v>
      </c>
      <c r="C7" s="4" t="s">
        <v>2604</v>
      </c>
      <c r="D7" s="4" t="s">
        <v>2605</v>
      </c>
      <c r="E7" s="5" t="s">
        <v>239</v>
      </c>
      <c r="F7" s="9">
        <v>136880150291</v>
      </c>
      <c r="G7" s="7" t="str">
        <f t="shared" si="0"/>
        <v>136880150291@r6-1.deped.gov.ph</v>
      </c>
      <c r="H7" s="8" t="str">
        <f t="shared" si="1"/>
        <v>antonio,311407</v>
      </c>
      <c r="I7" t="s">
        <v>14</v>
      </c>
    </row>
    <row r="8" spans="1:11" ht="12.75">
      <c r="A8" s="2">
        <v>5</v>
      </c>
      <c r="B8" s="3" t="s">
        <v>307</v>
      </c>
      <c r="C8" s="4" t="s">
        <v>2606</v>
      </c>
      <c r="D8" s="4" t="s">
        <v>2607</v>
      </c>
      <c r="E8" s="5" t="s">
        <v>231</v>
      </c>
      <c r="F8" s="9">
        <v>117532150006</v>
      </c>
      <c r="G8" s="7" t="str">
        <f t="shared" si="0"/>
        <v>117532150006@r6-1.deped.gov.ph</v>
      </c>
      <c r="H8" s="8" t="str">
        <f t="shared" si="1"/>
        <v>bronia,311407</v>
      </c>
      <c r="I8" t="s">
        <v>14</v>
      </c>
    </row>
    <row r="9" spans="1:11" ht="12.75">
      <c r="A9" s="2">
        <v>6</v>
      </c>
      <c r="B9" s="3" t="s">
        <v>307</v>
      </c>
      <c r="C9" s="4" t="s">
        <v>2608</v>
      </c>
      <c r="D9" s="4" t="s">
        <v>168</v>
      </c>
      <c r="E9" s="5" t="s">
        <v>255</v>
      </c>
      <c r="F9" s="9">
        <v>117346150010</v>
      </c>
      <c r="G9" s="7" t="str">
        <f t="shared" si="0"/>
        <v>117346150010@r6-1.deped.gov.ph</v>
      </c>
      <c r="H9" s="8" t="str">
        <f t="shared" si="1"/>
        <v>camson,311407</v>
      </c>
      <c r="I9" t="s">
        <v>14</v>
      </c>
    </row>
    <row r="10" spans="1:11" ht="12.75">
      <c r="A10" s="2">
        <v>7</v>
      </c>
      <c r="B10" s="3" t="s">
        <v>307</v>
      </c>
      <c r="C10" s="4" t="s">
        <v>1814</v>
      </c>
      <c r="D10" s="4" t="s">
        <v>2609</v>
      </c>
      <c r="E10" s="5" t="s">
        <v>311</v>
      </c>
      <c r="F10" s="9">
        <v>117556150018</v>
      </c>
      <c r="G10" s="7" t="str">
        <f t="shared" si="0"/>
        <v>117556150018@r6-1.deped.gov.ph</v>
      </c>
      <c r="H10" s="8" t="str">
        <f t="shared" si="1"/>
        <v>clemenia,311407</v>
      </c>
      <c r="I10" t="s">
        <v>14</v>
      </c>
    </row>
    <row r="11" spans="1:11" ht="12.75">
      <c r="A11" s="2">
        <v>8</v>
      </c>
      <c r="B11" s="3" t="s">
        <v>307</v>
      </c>
      <c r="C11" s="4" t="s">
        <v>2610</v>
      </c>
      <c r="D11" s="4" t="s">
        <v>1933</v>
      </c>
      <c r="E11" s="5" t="s">
        <v>255</v>
      </c>
      <c r="F11" s="9">
        <v>117539140012</v>
      </c>
      <c r="G11" s="7" t="str">
        <f t="shared" si="0"/>
        <v>117539140012@r6-1.deped.gov.ph</v>
      </c>
      <c r="H11" s="8" t="str">
        <f t="shared" si="1"/>
        <v>cortez,311407</v>
      </c>
      <c r="I11" t="s">
        <v>14</v>
      </c>
    </row>
    <row r="12" spans="1:11" ht="12.75">
      <c r="A12" s="2">
        <v>9</v>
      </c>
      <c r="B12" s="3" t="s">
        <v>307</v>
      </c>
      <c r="C12" s="4" t="s">
        <v>2611</v>
      </c>
      <c r="D12" s="4" t="s">
        <v>2612</v>
      </c>
      <c r="E12" s="5" t="s">
        <v>739</v>
      </c>
      <c r="F12" s="9">
        <v>117539150009</v>
      </c>
      <c r="G12" s="7" t="str">
        <f t="shared" si="0"/>
        <v>117539150009@r6-1.deped.gov.ph</v>
      </c>
      <c r="H12" s="8" t="str">
        <f t="shared" si="1"/>
        <v>de-erio,311407</v>
      </c>
      <c r="I12" t="s">
        <v>14</v>
      </c>
    </row>
    <row r="13" spans="1:11" ht="12.75">
      <c r="A13" s="2">
        <v>10</v>
      </c>
      <c r="B13" s="3" t="s">
        <v>307</v>
      </c>
      <c r="C13" s="4" t="s">
        <v>2613</v>
      </c>
      <c r="D13" s="4" t="s">
        <v>297</v>
      </c>
      <c r="E13" s="5" t="s">
        <v>294</v>
      </c>
      <c r="F13" s="9">
        <v>107778150008</v>
      </c>
      <c r="G13" s="7" t="str">
        <f t="shared" si="0"/>
        <v>107778150008@r6-1.deped.gov.ph</v>
      </c>
      <c r="H13" s="8" t="str">
        <f t="shared" si="1"/>
        <v>duhilag,311407</v>
      </c>
      <c r="I13" t="s">
        <v>46</v>
      </c>
    </row>
    <row r="14" spans="1:11" ht="12.75">
      <c r="A14" s="2">
        <v>11</v>
      </c>
      <c r="B14" s="3" t="s">
        <v>307</v>
      </c>
      <c r="C14" s="4" t="s">
        <v>1239</v>
      </c>
      <c r="D14" s="4" t="s">
        <v>2614</v>
      </c>
      <c r="E14" s="5" t="s">
        <v>268</v>
      </c>
      <c r="F14" s="9">
        <v>117532150008</v>
      </c>
      <c r="G14" s="7" t="str">
        <f t="shared" si="0"/>
        <v>117532150008@r6-1.deped.gov.ph</v>
      </c>
      <c r="H14" s="8" t="str">
        <f t="shared" si="1"/>
        <v>fuentes,311407</v>
      </c>
      <c r="I14" t="s">
        <v>14</v>
      </c>
    </row>
    <row r="15" spans="1:11" ht="12.75">
      <c r="A15" s="2">
        <v>12</v>
      </c>
      <c r="B15" s="3" t="s">
        <v>307</v>
      </c>
      <c r="C15" s="4" t="s">
        <v>1945</v>
      </c>
      <c r="D15" s="4" t="s">
        <v>2615</v>
      </c>
      <c r="E15" s="5" t="s">
        <v>239</v>
      </c>
      <c r="F15" s="9">
        <v>117532140007</v>
      </c>
      <c r="G15" s="7" t="str">
        <f t="shared" si="0"/>
        <v>117532140007@r6-1.deped.gov.ph</v>
      </c>
      <c r="H15" s="8" t="str">
        <f t="shared" si="1"/>
        <v>gregorio,311407</v>
      </c>
      <c r="I15" t="s">
        <v>14</v>
      </c>
    </row>
    <row r="16" spans="1:11" ht="12.75">
      <c r="A16" s="2">
        <v>13</v>
      </c>
      <c r="B16" s="3" t="s">
        <v>307</v>
      </c>
      <c r="C16" s="4" t="s">
        <v>2616</v>
      </c>
      <c r="D16" s="4" t="s">
        <v>329</v>
      </c>
      <c r="E16" s="5" t="s">
        <v>239</v>
      </c>
      <c r="F16" s="9">
        <v>117539150003</v>
      </c>
      <c r="G16" s="7" t="str">
        <f t="shared" si="0"/>
        <v>117539150003@r6-1.deped.gov.ph</v>
      </c>
      <c r="H16" s="8" t="str">
        <f t="shared" si="1"/>
        <v>herrera,311407</v>
      </c>
      <c r="I16" t="s">
        <v>14</v>
      </c>
    </row>
    <row r="17" spans="1:9" ht="12.75">
      <c r="A17" s="2">
        <v>14</v>
      </c>
      <c r="B17" s="3" t="s">
        <v>307</v>
      </c>
      <c r="C17" s="4" t="s">
        <v>2617</v>
      </c>
      <c r="D17" s="4" t="s">
        <v>2618</v>
      </c>
      <c r="E17" s="5" t="s">
        <v>268</v>
      </c>
      <c r="F17" s="9">
        <v>117532150010</v>
      </c>
      <c r="G17" s="7" t="str">
        <f t="shared" si="0"/>
        <v>117532150010@r6-1.deped.gov.ph</v>
      </c>
      <c r="H17" s="8" t="str">
        <f t="shared" si="1"/>
        <v>honorario,311407</v>
      </c>
      <c r="I17" t="s">
        <v>14</v>
      </c>
    </row>
    <row r="18" spans="1:9" ht="12.75">
      <c r="A18" s="2">
        <v>15</v>
      </c>
      <c r="B18" s="3" t="s">
        <v>307</v>
      </c>
      <c r="C18" s="4" t="s">
        <v>2619</v>
      </c>
      <c r="D18" s="4" t="s">
        <v>1437</v>
      </c>
      <c r="E18" s="5" t="s">
        <v>268</v>
      </c>
      <c r="F18" s="9">
        <v>117532160013</v>
      </c>
      <c r="G18" s="7" t="str">
        <f t="shared" si="0"/>
        <v>117532160013@r6-1.deped.gov.ph</v>
      </c>
      <c r="H18" s="8" t="str">
        <f t="shared" si="1"/>
        <v>hulleza,311407</v>
      </c>
      <c r="I18" t="s">
        <v>14</v>
      </c>
    </row>
    <row r="19" spans="1:9" ht="12.75">
      <c r="A19" s="2">
        <v>16</v>
      </c>
      <c r="B19" s="3" t="s">
        <v>307</v>
      </c>
      <c r="C19" s="4" t="s">
        <v>332</v>
      </c>
      <c r="D19" s="4" t="s">
        <v>210</v>
      </c>
      <c r="E19" s="5" t="s">
        <v>231</v>
      </c>
      <c r="F19" s="9">
        <v>117539150012</v>
      </c>
      <c r="G19" s="7" t="str">
        <f t="shared" si="0"/>
        <v>117539150012@r6-1.deped.gov.ph</v>
      </c>
      <c r="H19" s="8" t="str">
        <f t="shared" si="1"/>
        <v>jimenez,311407</v>
      </c>
      <c r="I19" t="s">
        <v>14</v>
      </c>
    </row>
    <row r="20" spans="1:9" ht="12.75">
      <c r="A20" s="2">
        <v>17</v>
      </c>
      <c r="B20" s="3" t="s">
        <v>307</v>
      </c>
      <c r="C20" s="4" t="s">
        <v>1733</v>
      </c>
      <c r="D20" s="4" t="s">
        <v>2620</v>
      </c>
      <c r="E20" s="5" t="s">
        <v>255</v>
      </c>
      <c r="F20" s="9">
        <v>117532150007</v>
      </c>
      <c r="G20" s="7" t="str">
        <f t="shared" si="0"/>
        <v>117532150007@r6-1.deped.gov.ph</v>
      </c>
      <c r="H20" s="8" t="str">
        <f t="shared" si="1"/>
        <v>logatiman,311407</v>
      </c>
      <c r="I20" t="s">
        <v>14</v>
      </c>
    </row>
    <row r="21" spans="1:9" ht="12.75">
      <c r="A21" s="2">
        <v>18</v>
      </c>
      <c r="B21" s="3" t="s">
        <v>307</v>
      </c>
      <c r="C21" s="4" t="s">
        <v>2621</v>
      </c>
      <c r="D21" s="4" t="s">
        <v>2035</v>
      </c>
      <c r="E21" s="5" t="s">
        <v>242</v>
      </c>
      <c r="F21" s="9">
        <v>117539150013</v>
      </c>
      <c r="G21" s="7" t="str">
        <f t="shared" si="0"/>
        <v>117539150013@r6-1.deped.gov.ph</v>
      </c>
      <c r="H21" s="8" t="str">
        <f t="shared" si="1"/>
        <v>mabuyao,311407</v>
      </c>
      <c r="I21" t="s">
        <v>14</v>
      </c>
    </row>
    <row r="22" spans="1:9" ht="12.75">
      <c r="A22" s="2">
        <v>19</v>
      </c>
      <c r="B22" s="3" t="s">
        <v>307</v>
      </c>
      <c r="C22" s="4" t="s">
        <v>2622</v>
      </c>
      <c r="D22" s="4" t="s">
        <v>2623</v>
      </c>
      <c r="E22" s="5" t="s">
        <v>245</v>
      </c>
      <c r="F22" s="9">
        <v>117539150004</v>
      </c>
      <c r="G22" s="7" t="str">
        <f t="shared" si="0"/>
        <v>117539150004@r6-1.deped.gov.ph</v>
      </c>
      <c r="H22" s="8" t="str">
        <f t="shared" si="1"/>
        <v>magtibay,311407</v>
      </c>
      <c r="I22" t="s">
        <v>14</v>
      </c>
    </row>
    <row r="23" spans="1:9" ht="12.75">
      <c r="A23" s="2">
        <v>20</v>
      </c>
      <c r="B23" s="3" t="s">
        <v>307</v>
      </c>
      <c r="C23" s="4" t="s">
        <v>2624</v>
      </c>
      <c r="D23" s="4" t="s">
        <v>2625</v>
      </c>
      <c r="E23" s="5" t="s">
        <v>234</v>
      </c>
      <c r="F23" s="9">
        <v>117532150004</v>
      </c>
      <c r="G23" s="7" t="str">
        <f t="shared" si="0"/>
        <v>117532150004@r6-1.deped.gov.ph</v>
      </c>
      <c r="H23" s="8" t="str">
        <f t="shared" si="1"/>
        <v>mahilum,311407</v>
      </c>
      <c r="I23" t="s">
        <v>14</v>
      </c>
    </row>
    <row r="24" spans="1:9" ht="12.75">
      <c r="A24" s="2">
        <v>21</v>
      </c>
      <c r="B24" s="3" t="s">
        <v>307</v>
      </c>
      <c r="C24" s="4" t="s">
        <v>2626</v>
      </c>
      <c r="D24" s="4" t="s">
        <v>2627</v>
      </c>
      <c r="E24" s="5" t="s">
        <v>257</v>
      </c>
      <c r="F24" s="9">
        <v>117532140011</v>
      </c>
      <c r="G24" s="7" t="str">
        <f t="shared" si="0"/>
        <v>117532140011@r6-1.deped.gov.ph</v>
      </c>
      <c r="H24" s="8" t="str">
        <f t="shared" si="1"/>
        <v>mayan,311407</v>
      </c>
      <c r="I24" t="s">
        <v>14</v>
      </c>
    </row>
    <row r="25" spans="1:9" ht="12.75">
      <c r="A25" s="2">
        <v>22</v>
      </c>
      <c r="B25" s="3" t="s">
        <v>307</v>
      </c>
      <c r="C25" s="4" t="s">
        <v>1875</v>
      </c>
      <c r="D25" s="4" t="s">
        <v>2628</v>
      </c>
      <c r="E25" s="5" t="s">
        <v>263</v>
      </c>
      <c r="F25" s="9">
        <v>117532150016</v>
      </c>
      <c r="G25" s="7" t="str">
        <f t="shared" si="0"/>
        <v>117532150016@r6-1.deped.gov.ph</v>
      </c>
      <c r="H25" s="8" t="str">
        <f t="shared" si="1"/>
        <v>padayogdog,311407</v>
      </c>
      <c r="I25" t="s">
        <v>14</v>
      </c>
    </row>
    <row r="26" spans="1:9" ht="12.75">
      <c r="A26" s="2">
        <v>23</v>
      </c>
      <c r="B26" s="3" t="s">
        <v>307</v>
      </c>
      <c r="C26" s="4" t="s">
        <v>84</v>
      </c>
      <c r="D26" s="4" t="s">
        <v>1063</v>
      </c>
      <c r="E26" s="5" t="s">
        <v>231</v>
      </c>
      <c r="F26" s="9">
        <v>117573150048</v>
      </c>
      <c r="G26" s="7" t="str">
        <f t="shared" si="0"/>
        <v>117573150048@r6-1.deped.gov.ph</v>
      </c>
      <c r="H26" s="8" t="str">
        <f t="shared" si="1"/>
        <v>parcon,311407</v>
      </c>
      <c r="I26" t="s">
        <v>14</v>
      </c>
    </row>
    <row r="27" spans="1:9" ht="12.75">
      <c r="A27" s="2">
        <v>24</v>
      </c>
      <c r="B27" s="3" t="s">
        <v>307</v>
      </c>
      <c r="C27" s="4" t="s">
        <v>492</v>
      </c>
      <c r="D27" s="4" t="s">
        <v>315</v>
      </c>
      <c r="E27" s="5" t="s">
        <v>239</v>
      </c>
      <c r="F27" s="9">
        <v>117532160011</v>
      </c>
      <c r="G27" s="7" t="str">
        <f t="shared" si="0"/>
        <v>117532160011@r6-1.deped.gov.ph</v>
      </c>
      <c r="H27" s="8" t="str">
        <f t="shared" si="1"/>
        <v>villegas,311407</v>
      </c>
      <c r="I27" t="s">
        <v>14</v>
      </c>
    </row>
    <row r="28" spans="1:9" ht="12.75">
      <c r="A28" s="2">
        <v>25</v>
      </c>
      <c r="B28" s="7"/>
      <c r="C28" s="7"/>
      <c r="D28" s="7"/>
      <c r="E28" s="8"/>
      <c r="F28" s="8"/>
      <c r="G28" s="7" t="str">
        <f t="shared" ref="G28:G282" si="2">IF(F28="","",F28&amp;"@r6-1.deped.gov.ph")</f>
        <v/>
      </c>
      <c r="H28" s="8"/>
    </row>
    <row r="29" spans="1:9" ht="12.75">
      <c r="A29" s="2">
        <v>26</v>
      </c>
      <c r="B29" s="7"/>
      <c r="C29" s="7"/>
      <c r="D29" s="7"/>
      <c r="E29" s="8"/>
      <c r="F29" s="8"/>
      <c r="G29" s="7" t="str">
        <f t="shared" si="2"/>
        <v/>
      </c>
      <c r="H29" s="8"/>
    </row>
    <row r="30" spans="1:9" ht="12.75">
      <c r="A30" s="2">
        <v>27</v>
      </c>
      <c r="B30" s="7"/>
      <c r="C30" s="7"/>
      <c r="D30" s="7"/>
      <c r="E30" s="8"/>
      <c r="F30" s="8"/>
      <c r="G30" s="7" t="str">
        <f t="shared" si="2"/>
        <v/>
      </c>
      <c r="H30" s="8"/>
    </row>
    <row r="31" spans="1:9" ht="12.75">
      <c r="A31" s="2">
        <v>28</v>
      </c>
      <c r="B31" s="7"/>
      <c r="C31" s="7"/>
      <c r="D31" s="7"/>
      <c r="E31" s="8"/>
      <c r="F31" s="8"/>
      <c r="G31" s="7" t="str">
        <f t="shared" si="2"/>
        <v/>
      </c>
      <c r="H31" s="8"/>
    </row>
    <row r="32" spans="1:9" ht="12.75">
      <c r="A32" s="2">
        <v>29</v>
      </c>
      <c r="B32" s="7"/>
      <c r="C32" s="7"/>
      <c r="D32" s="7"/>
      <c r="E32" s="8"/>
      <c r="F32" s="8"/>
      <c r="G32" s="7" t="str">
        <f t="shared" si="2"/>
        <v/>
      </c>
      <c r="H32" s="8"/>
    </row>
    <row r="33" spans="1:8" ht="12.75">
      <c r="A33" s="2">
        <v>30</v>
      </c>
      <c r="B33" s="7"/>
      <c r="C33" s="7"/>
      <c r="D33" s="7"/>
      <c r="E33" s="8"/>
      <c r="F33" s="8"/>
      <c r="G33" s="7" t="str">
        <f t="shared" si="2"/>
        <v/>
      </c>
      <c r="H33" s="8"/>
    </row>
    <row r="34" spans="1:8" ht="12.75">
      <c r="A34" s="2">
        <v>31</v>
      </c>
      <c r="B34" s="7"/>
      <c r="C34" s="7"/>
      <c r="D34" s="7"/>
      <c r="E34" s="8"/>
      <c r="F34" s="8"/>
      <c r="G34" s="7" t="str">
        <f t="shared" si="2"/>
        <v/>
      </c>
      <c r="H34" s="8"/>
    </row>
    <row r="35" spans="1:8" ht="12.75">
      <c r="A35" s="2">
        <v>32</v>
      </c>
      <c r="B35" s="7"/>
      <c r="C35" s="7"/>
      <c r="D35" s="7"/>
      <c r="E35" s="8"/>
      <c r="F35" s="8"/>
      <c r="G35" s="7" t="str">
        <f t="shared" si="2"/>
        <v/>
      </c>
      <c r="H35" s="8"/>
    </row>
    <row r="36" spans="1:8" ht="12.75">
      <c r="A36" s="2">
        <v>33</v>
      </c>
      <c r="B36" s="7"/>
      <c r="C36" s="7"/>
      <c r="D36" s="7"/>
      <c r="E36" s="8"/>
      <c r="F36" s="8"/>
      <c r="G36" s="7" t="str">
        <f t="shared" si="2"/>
        <v/>
      </c>
      <c r="H36" s="8"/>
    </row>
    <row r="37" spans="1:8" ht="12.75">
      <c r="A37" s="2">
        <v>34</v>
      </c>
      <c r="B37" s="7"/>
      <c r="C37" s="7"/>
      <c r="D37" s="7"/>
      <c r="E37" s="8"/>
      <c r="F37" s="8"/>
      <c r="G37" s="7" t="str">
        <f t="shared" si="2"/>
        <v/>
      </c>
      <c r="H37" s="8"/>
    </row>
    <row r="38" spans="1:8" ht="12.75">
      <c r="A38" s="2">
        <v>35</v>
      </c>
      <c r="B38" s="7"/>
      <c r="C38" s="7"/>
      <c r="D38" s="7"/>
      <c r="E38" s="8"/>
      <c r="F38" s="8"/>
      <c r="G38" s="7" t="str">
        <f t="shared" si="2"/>
        <v/>
      </c>
      <c r="H38" s="8"/>
    </row>
    <row r="39" spans="1:8" ht="12.75">
      <c r="A39" s="2">
        <v>36</v>
      </c>
      <c r="B39" s="7"/>
      <c r="C39" s="7"/>
      <c r="D39" s="7"/>
      <c r="E39" s="8"/>
      <c r="F39" s="8"/>
      <c r="G39" s="7" t="str">
        <f t="shared" si="2"/>
        <v/>
      </c>
      <c r="H39" s="8"/>
    </row>
    <row r="40" spans="1:8" ht="12.75">
      <c r="A40" s="2">
        <v>37</v>
      </c>
      <c r="B40" s="7"/>
      <c r="C40" s="7"/>
      <c r="D40" s="7"/>
      <c r="E40" s="8"/>
      <c r="F40" s="8"/>
      <c r="G40" s="7" t="str">
        <f t="shared" si="2"/>
        <v/>
      </c>
      <c r="H40" s="8"/>
    </row>
    <row r="41" spans="1:8" ht="12.75">
      <c r="A41" s="2">
        <v>38</v>
      </c>
      <c r="B41" s="7"/>
      <c r="C41" s="7"/>
      <c r="D41" s="7"/>
      <c r="E41" s="8"/>
      <c r="F41" s="8"/>
      <c r="G41" s="7" t="str">
        <f t="shared" si="2"/>
        <v/>
      </c>
      <c r="H41" s="8"/>
    </row>
    <row r="42" spans="1:8" ht="12.75">
      <c r="A42" s="2">
        <v>39</v>
      </c>
      <c r="B42" s="7"/>
      <c r="C42" s="7"/>
      <c r="D42" s="7"/>
      <c r="E42" s="8"/>
      <c r="F42" s="8"/>
      <c r="G42" s="7" t="str">
        <f t="shared" si="2"/>
        <v/>
      </c>
      <c r="H42" s="8"/>
    </row>
    <row r="43" spans="1:8" ht="12.75">
      <c r="A43" s="2">
        <v>40</v>
      </c>
      <c r="B43" s="7"/>
      <c r="C43" s="7"/>
      <c r="D43" s="7"/>
      <c r="E43" s="8"/>
      <c r="F43" s="8"/>
      <c r="G43" s="7" t="str">
        <f t="shared" si="2"/>
        <v/>
      </c>
      <c r="H43" s="8"/>
    </row>
    <row r="44" spans="1:8" ht="12.75">
      <c r="A44" s="2">
        <v>41</v>
      </c>
      <c r="B44" s="7"/>
      <c r="C44" s="7"/>
      <c r="D44" s="7"/>
      <c r="E44" s="8"/>
      <c r="F44" s="8"/>
      <c r="G44" s="7" t="str">
        <f t="shared" si="2"/>
        <v/>
      </c>
      <c r="H44" s="8"/>
    </row>
    <row r="45" spans="1:8" ht="12.75">
      <c r="A45" s="2">
        <v>42</v>
      </c>
      <c r="B45" s="7"/>
      <c r="C45" s="7"/>
      <c r="D45" s="7"/>
      <c r="E45" s="8"/>
      <c r="F45" s="8"/>
      <c r="G45" s="7" t="str">
        <f t="shared" si="2"/>
        <v/>
      </c>
      <c r="H45" s="8"/>
    </row>
    <row r="46" spans="1:8" ht="12.75">
      <c r="A46" s="2">
        <v>43</v>
      </c>
      <c r="B46" s="7"/>
      <c r="C46" s="7"/>
      <c r="D46" s="7"/>
      <c r="E46" s="8"/>
      <c r="F46" s="8"/>
      <c r="G46" s="7" t="str">
        <f t="shared" si="2"/>
        <v/>
      </c>
      <c r="H46" s="8"/>
    </row>
    <row r="47" spans="1:8" ht="12.75">
      <c r="A47" s="2">
        <v>44</v>
      </c>
      <c r="B47" s="7"/>
      <c r="C47" s="7"/>
      <c r="D47" s="7"/>
      <c r="E47" s="8"/>
      <c r="F47" s="8"/>
      <c r="G47" s="7" t="str">
        <f t="shared" si="2"/>
        <v/>
      </c>
      <c r="H47" s="8"/>
    </row>
    <row r="48" spans="1:8" ht="12.75">
      <c r="A48" s="2">
        <v>45</v>
      </c>
      <c r="B48" s="7"/>
      <c r="C48" s="7"/>
      <c r="D48" s="7"/>
      <c r="E48" s="8"/>
      <c r="F48" s="8"/>
      <c r="G48" s="7" t="str">
        <f t="shared" si="2"/>
        <v/>
      </c>
      <c r="H48" s="8"/>
    </row>
    <row r="49" spans="1:8" ht="12.75">
      <c r="A49" s="2">
        <v>46</v>
      </c>
      <c r="B49" s="7"/>
      <c r="C49" s="7"/>
      <c r="D49" s="7"/>
      <c r="E49" s="8"/>
      <c r="F49" s="8"/>
      <c r="G49" s="7" t="str">
        <f t="shared" si="2"/>
        <v/>
      </c>
      <c r="H49" s="8"/>
    </row>
    <row r="50" spans="1:8" ht="12.75">
      <c r="A50" s="2">
        <v>47</v>
      </c>
      <c r="B50" s="7"/>
      <c r="C50" s="7"/>
      <c r="D50" s="7"/>
      <c r="E50" s="8"/>
      <c r="F50" s="8"/>
      <c r="G50" s="7" t="str">
        <f t="shared" si="2"/>
        <v/>
      </c>
      <c r="H50" s="8"/>
    </row>
    <row r="51" spans="1:8" ht="12.75">
      <c r="A51" s="2">
        <v>48</v>
      </c>
      <c r="B51" s="7"/>
      <c r="C51" s="7"/>
      <c r="D51" s="7"/>
      <c r="E51" s="8"/>
      <c r="F51" s="8"/>
      <c r="G51" s="7" t="str">
        <f t="shared" si="2"/>
        <v/>
      </c>
      <c r="H51" s="8"/>
    </row>
    <row r="52" spans="1:8" ht="12.75">
      <c r="A52" s="2">
        <v>49</v>
      </c>
      <c r="B52" s="7"/>
      <c r="C52" s="7"/>
      <c r="D52" s="7"/>
      <c r="E52" s="8"/>
      <c r="F52" s="8"/>
      <c r="G52" s="7" t="str">
        <f t="shared" si="2"/>
        <v/>
      </c>
      <c r="H52" s="8"/>
    </row>
    <row r="53" spans="1:8" ht="12.75">
      <c r="A53" s="2">
        <v>50</v>
      </c>
      <c r="B53" s="7"/>
      <c r="C53" s="7"/>
      <c r="D53" s="7"/>
      <c r="E53" s="8"/>
      <c r="F53" s="8"/>
      <c r="G53" s="7" t="str">
        <f t="shared" si="2"/>
        <v/>
      </c>
      <c r="H53" s="8"/>
    </row>
    <row r="54" spans="1:8" ht="12.75">
      <c r="A54" s="2">
        <v>51</v>
      </c>
      <c r="B54" s="7"/>
      <c r="C54" s="7"/>
      <c r="D54" s="7"/>
      <c r="E54" s="8"/>
      <c r="F54" s="8"/>
      <c r="G54" s="7" t="str">
        <f t="shared" si="2"/>
        <v/>
      </c>
      <c r="H54" s="8"/>
    </row>
    <row r="55" spans="1:8" ht="12.75">
      <c r="A55" s="2">
        <v>52</v>
      </c>
      <c r="B55" s="7"/>
      <c r="C55" s="7"/>
      <c r="D55" s="7"/>
      <c r="E55" s="8"/>
      <c r="F55" s="8"/>
      <c r="G55" s="7" t="str">
        <f t="shared" si="2"/>
        <v/>
      </c>
      <c r="H55" s="8"/>
    </row>
    <row r="56" spans="1:8" ht="12.75">
      <c r="A56" s="2">
        <v>53</v>
      </c>
      <c r="B56" s="7"/>
      <c r="C56" s="7"/>
      <c r="D56" s="7"/>
      <c r="E56" s="8"/>
      <c r="F56" s="8"/>
      <c r="G56" s="7" t="str">
        <f t="shared" si="2"/>
        <v/>
      </c>
      <c r="H56" s="8"/>
    </row>
    <row r="57" spans="1:8" ht="12.75">
      <c r="A57" s="2">
        <v>54</v>
      </c>
      <c r="B57" s="7"/>
      <c r="C57" s="7"/>
      <c r="D57" s="7"/>
      <c r="E57" s="8"/>
      <c r="F57" s="8"/>
      <c r="G57" s="7" t="str">
        <f t="shared" si="2"/>
        <v/>
      </c>
      <c r="H57" s="8"/>
    </row>
    <row r="58" spans="1:8" ht="12.75">
      <c r="A58" s="2">
        <v>55</v>
      </c>
      <c r="B58" s="7"/>
      <c r="C58" s="7"/>
      <c r="D58" s="7"/>
      <c r="E58" s="8"/>
      <c r="F58" s="8"/>
      <c r="G58" s="7" t="str">
        <f t="shared" si="2"/>
        <v/>
      </c>
      <c r="H58" s="8"/>
    </row>
    <row r="59" spans="1:8" ht="12.75">
      <c r="A59" s="2">
        <v>56</v>
      </c>
      <c r="B59" s="7"/>
      <c r="C59" s="7"/>
      <c r="D59" s="7"/>
      <c r="E59" s="8"/>
      <c r="F59" s="8"/>
      <c r="G59" s="7" t="str">
        <f t="shared" si="2"/>
        <v/>
      </c>
      <c r="H59" s="8"/>
    </row>
    <row r="60" spans="1:8" ht="12.75">
      <c r="A60" s="2">
        <v>57</v>
      </c>
      <c r="B60" s="7"/>
      <c r="C60" s="7"/>
      <c r="D60" s="7"/>
      <c r="E60" s="8"/>
      <c r="F60" s="8"/>
      <c r="G60" s="7" t="str">
        <f t="shared" si="2"/>
        <v/>
      </c>
      <c r="H60" s="8"/>
    </row>
    <row r="61" spans="1:8" ht="12.75">
      <c r="A61" s="2">
        <v>58</v>
      </c>
      <c r="B61" s="7"/>
      <c r="C61" s="7"/>
      <c r="D61" s="7"/>
      <c r="E61" s="8"/>
      <c r="F61" s="8"/>
      <c r="G61" s="7" t="str">
        <f t="shared" si="2"/>
        <v/>
      </c>
      <c r="H61" s="8"/>
    </row>
    <row r="62" spans="1:8" ht="12.75">
      <c r="A62" s="2">
        <v>59</v>
      </c>
      <c r="B62" s="7"/>
      <c r="C62" s="7"/>
      <c r="D62" s="7"/>
      <c r="E62" s="8"/>
      <c r="F62" s="8"/>
      <c r="G62" s="7" t="str">
        <f t="shared" si="2"/>
        <v/>
      </c>
      <c r="H62" s="8"/>
    </row>
    <row r="63" spans="1:8" ht="12.75">
      <c r="A63" s="2">
        <v>60</v>
      </c>
      <c r="B63" s="7"/>
      <c r="C63" s="7"/>
      <c r="D63" s="7"/>
      <c r="E63" s="8"/>
      <c r="F63" s="8"/>
      <c r="G63" s="7" t="str">
        <f t="shared" si="2"/>
        <v/>
      </c>
      <c r="H63" s="8"/>
    </row>
    <row r="64" spans="1:8" ht="12.75">
      <c r="A64" s="2">
        <v>61</v>
      </c>
      <c r="B64" s="7"/>
      <c r="C64" s="7"/>
      <c r="D64" s="7"/>
      <c r="E64" s="8"/>
      <c r="F64" s="8"/>
      <c r="G64" s="7" t="str">
        <f t="shared" si="2"/>
        <v/>
      </c>
      <c r="H64" s="8"/>
    </row>
    <row r="65" spans="1:8" ht="12.75">
      <c r="A65" s="2">
        <v>62</v>
      </c>
      <c r="B65" s="7"/>
      <c r="C65" s="7"/>
      <c r="D65" s="7"/>
      <c r="E65" s="8"/>
      <c r="F65" s="8"/>
      <c r="G65" s="7" t="str">
        <f t="shared" si="2"/>
        <v/>
      </c>
      <c r="H65" s="8"/>
    </row>
    <row r="66" spans="1:8" ht="12.75">
      <c r="A66" s="2">
        <v>63</v>
      </c>
      <c r="B66" s="7"/>
      <c r="C66" s="7"/>
      <c r="D66" s="7"/>
      <c r="E66" s="8"/>
      <c r="F66" s="8"/>
      <c r="G66" s="7" t="str">
        <f t="shared" si="2"/>
        <v/>
      </c>
      <c r="H66" s="8"/>
    </row>
    <row r="67" spans="1:8" ht="12.75">
      <c r="A67" s="2">
        <v>64</v>
      </c>
      <c r="B67" s="7"/>
      <c r="C67" s="7"/>
      <c r="D67" s="7"/>
      <c r="E67" s="8"/>
      <c r="F67" s="8"/>
      <c r="G67" s="7" t="str">
        <f t="shared" si="2"/>
        <v/>
      </c>
      <c r="H67" s="8"/>
    </row>
    <row r="68" spans="1:8" ht="12.75">
      <c r="A68" s="2">
        <v>65</v>
      </c>
      <c r="B68" s="7"/>
      <c r="C68" s="7"/>
      <c r="D68" s="7"/>
      <c r="E68" s="8"/>
      <c r="F68" s="8"/>
      <c r="G68" s="7" t="str">
        <f t="shared" si="2"/>
        <v/>
      </c>
      <c r="H68" s="8"/>
    </row>
    <row r="69" spans="1:8" ht="12.75">
      <c r="A69" s="2">
        <v>66</v>
      </c>
      <c r="B69" s="7"/>
      <c r="C69" s="7"/>
      <c r="D69" s="7"/>
      <c r="E69" s="8"/>
      <c r="F69" s="8"/>
      <c r="G69" s="7" t="str">
        <f t="shared" si="2"/>
        <v/>
      </c>
      <c r="H69" s="8"/>
    </row>
    <row r="70" spans="1:8" ht="12.75">
      <c r="A70" s="2">
        <v>67</v>
      </c>
      <c r="B70" s="7"/>
      <c r="C70" s="7"/>
      <c r="D70" s="7"/>
      <c r="E70" s="8"/>
      <c r="F70" s="8"/>
      <c r="G70" s="7" t="str">
        <f t="shared" si="2"/>
        <v/>
      </c>
      <c r="H70" s="8"/>
    </row>
    <row r="71" spans="1:8" ht="12.75">
      <c r="A71" s="2">
        <v>68</v>
      </c>
      <c r="B71" s="7"/>
      <c r="C71" s="7"/>
      <c r="D71" s="7"/>
      <c r="E71" s="8"/>
      <c r="F71" s="8"/>
      <c r="G71" s="7" t="str">
        <f t="shared" si="2"/>
        <v/>
      </c>
      <c r="H71" s="8"/>
    </row>
    <row r="72" spans="1:8" ht="12.75">
      <c r="A72" s="2">
        <v>69</v>
      </c>
      <c r="B72" s="7"/>
      <c r="C72" s="7"/>
      <c r="D72" s="7"/>
      <c r="E72" s="8"/>
      <c r="F72" s="8"/>
      <c r="G72" s="7" t="str">
        <f t="shared" si="2"/>
        <v/>
      </c>
      <c r="H72" s="8"/>
    </row>
    <row r="73" spans="1:8" ht="12.75">
      <c r="A73" s="2">
        <v>70</v>
      </c>
      <c r="B73" s="7"/>
      <c r="C73" s="7"/>
      <c r="D73" s="7"/>
      <c r="E73" s="8"/>
      <c r="F73" s="8"/>
      <c r="G73" s="7" t="str">
        <f t="shared" si="2"/>
        <v/>
      </c>
      <c r="H73" s="8"/>
    </row>
    <row r="74" spans="1:8" ht="12.75">
      <c r="A74" s="2">
        <v>71</v>
      </c>
      <c r="B74" s="7"/>
      <c r="C74" s="7"/>
      <c r="D74" s="7"/>
      <c r="E74" s="8"/>
      <c r="F74" s="8"/>
      <c r="G74" s="7" t="str">
        <f t="shared" si="2"/>
        <v/>
      </c>
      <c r="H74" s="8"/>
    </row>
    <row r="75" spans="1:8" ht="12.75">
      <c r="A75" s="2">
        <v>72</v>
      </c>
      <c r="B75" s="7"/>
      <c r="C75" s="7"/>
      <c r="D75" s="7"/>
      <c r="E75" s="8"/>
      <c r="F75" s="8"/>
      <c r="G75" s="7" t="str">
        <f t="shared" si="2"/>
        <v/>
      </c>
      <c r="H75" s="8"/>
    </row>
    <row r="76" spans="1:8" ht="12.75">
      <c r="A76" s="2">
        <v>73</v>
      </c>
      <c r="B76" s="7"/>
      <c r="C76" s="7"/>
      <c r="D76" s="7"/>
      <c r="E76" s="8"/>
      <c r="F76" s="8"/>
      <c r="G76" s="7" t="str">
        <f t="shared" si="2"/>
        <v/>
      </c>
      <c r="H76" s="8"/>
    </row>
    <row r="77" spans="1:8" ht="12.75">
      <c r="A77" s="2">
        <v>74</v>
      </c>
      <c r="B77" s="7"/>
      <c r="C77" s="7"/>
      <c r="D77" s="7"/>
      <c r="E77" s="8"/>
      <c r="F77" s="8"/>
      <c r="G77" s="7" t="str">
        <f t="shared" si="2"/>
        <v/>
      </c>
      <c r="H77" s="8"/>
    </row>
    <row r="78" spans="1:8" ht="12.75">
      <c r="A78" s="2">
        <v>75</v>
      </c>
      <c r="B78" s="7"/>
      <c r="C78" s="7"/>
      <c r="D78" s="7"/>
      <c r="E78" s="8"/>
      <c r="F78" s="8"/>
      <c r="G78" s="7" t="str">
        <f t="shared" si="2"/>
        <v/>
      </c>
      <c r="H78" s="8"/>
    </row>
    <row r="79" spans="1:8" ht="12.75">
      <c r="A79" s="2">
        <v>76</v>
      </c>
      <c r="B79" s="7"/>
      <c r="C79" s="7"/>
      <c r="D79" s="7"/>
      <c r="E79" s="8"/>
      <c r="F79" s="8"/>
      <c r="G79" s="7" t="str">
        <f t="shared" si="2"/>
        <v/>
      </c>
      <c r="H79" s="8"/>
    </row>
    <row r="80" spans="1:8" ht="12.75">
      <c r="A80" s="2">
        <v>77</v>
      </c>
      <c r="B80" s="7"/>
      <c r="C80" s="7"/>
      <c r="D80" s="7"/>
      <c r="E80" s="8"/>
      <c r="F80" s="8"/>
      <c r="G80" s="7" t="str">
        <f t="shared" si="2"/>
        <v/>
      </c>
      <c r="H80" s="8"/>
    </row>
    <row r="81" spans="1:8" ht="12.75">
      <c r="A81" s="2">
        <v>78</v>
      </c>
      <c r="B81" s="7"/>
      <c r="C81" s="7"/>
      <c r="D81" s="7"/>
      <c r="E81" s="8"/>
      <c r="F81" s="8"/>
      <c r="G81" s="7" t="str">
        <f t="shared" si="2"/>
        <v/>
      </c>
      <c r="H81" s="8"/>
    </row>
    <row r="82" spans="1:8" ht="12.75">
      <c r="A82" s="2">
        <v>79</v>
      </c>
      <c r="B82" s="7"/>
      <c r="C82" s="7"/>
      <c r="D82" s="7"/>
      <c r="E82" s="8"/>
      <c r="F82" s="8"/>
      <c r="G82" s="7" t="str">
        <f t="shared" si="2"/>
        <v/>
      </c>
      <c r="H82" s="8"/>
    </row>
    <row r="83" spans="1:8" ht="12.75">
      <c r="A83" s="2">
        <v>80</v>
      </c>
      <c r="B83" s="7"/>
      <c r="C83" s="7"/>
      <c r="D83" s="7"/>
      <c r="E83" s="8"/>
      <c r="F83" s="8"/>
      <c r="G83" s="7" t="str">
        <f t="shared" si="2"/>
        <v/>
      </c>
      <c r="H83" s="8"/>
    </row>
    <row r="84" spans="1:8" ht="12.75">
      <c r="A84" s="2">
        <v>81</v>
      </c>
      <c r="B84" s="7"/>
      <c r="C84" s="7"/>
      <c r="D84" s="7"/>
      <c r="E84" s="8"/>
      <c r="F84" s="8"/>
      <c r="G84" s="7" t="str">
        <f t="shared" si="2"/>
        <v/>
      </c>
      <c r="H84" s="8"/>
    </row>
    <row r="85" spans="1:8" ht="12.75">
      <c r="A85" s="2">
        <v>82</v>
      </c>
      <c r="B85" s="7"/>
      <c r="C85" s="7"/>
      <c r="D85" s="7"/>
      <c r="E85" s="8"/>
      <c r="F85" s="8"/>
      <c r="G85" s="7" t="str">
        <f t="shared" si="2"/>
        <v/>
      </c>
      <c r="H85" s="8"/>
    </row>
    <row r="86" spans="1:8" ht="12.75">
      <c r="A86" s="2">
        <v>83</v>
      </c>
      <c r="B86" s="7"/>
      <c r="C86" s="7"/>
      <c r="D86" s="7"/>
      <c r="E86" s="8"/>
      <c r="F86" s="8"/>
      <c r="G86" s="7" t="str">
        <f t="shared" si="2"/>
        <v/>
      </c>
      <c r="H86" s="8"/>
    </row>
    <row r="87" spans="1:8" ht="12.75">
      <c r="A87" s="2">
        <v>84</v>
      </c>
      <c r="B87" s="7"/>
      <c r="C87" s="7"/>
      <c r="D87" s="7"/>
      <c r="E87" s="8"/>
      <c r="F87" s="8"/>
      <c r="G87" s="7" t="str">
        <f t="shared" si="2"/>
        <v/>
      </c>
      <c r="H87" s="8"/>
    </row>
    <row r="88" spans="1:8" ht="12.75">
      <c r="A88" s="2">
        <v>85</v>
      </c>
      <c r="B88" s="7"/>
      <c r="C88" s="7"/>
      <c r="D88" s="7"/>
      <c r="E88" s="8"/>
      <c r="F88" s="8"/>
      <c r="G88" s="7" t="str">
        <f t="shared" si="2"/>
        <v/>
      </c>
      <c r="H88" s="8"/>
    </row>
    <row r="89" spans="1:8" ht="12.75">
      <c r="A89" s="2">
        <v>86</v>
      </c>
      <c r="B89" s="7"/>
      <c r="C89" s="7"/>
      <c r="D89" s="7"/>
      <c r="E89" s="8"/>
      <c r="F89" s="8"/>
      <c r="G89" s="7" t="str">
        <f t="shared" si="2"/>
        <v/>
      </c>
      <c r="H89" s="8"/>
    </row>
    <row r="90" spans="1:8" ht="12.75">
      <c r="A90" s="2">
        <v>87</v>
      </c>
      <c r="B90" s="7"/>
      <c r="C90" s="7"/>
      <c r="D90" s="7"/>
      <c r="E90" s="8"/>
      <c r="F90" s="8"/>
      <c r="G90" s="7" t="str">
        <f t="shared" si="2"/>
        <v/>
      </c>
      <c r="H90" s="8"/>
    </row>
    <row r="91" spans="1:8" ht="12.75">
      <c r="A91" s="2">
        <v>88</v>
      </c>
      <c r="B91" s="7"/>
      <c r="C91" s="7"/>
      <c r="D91" s="7"/>
      <c r="E91" s="8"/>
      <c r="F91" s="8"/>
      <c r="G91" s="7" t="str">
        <f t="shared" si="2"/>
        <v/>
      </c>
      <c r="H91" s="8"/>
    </row>
    <row r="92" spans="1:8" ht="12.75">
      <c r="A92" s="2">
        <v>89</v>
      </c>
      <c r="B92" s="7"/>
      <c r="C92" s="7"/>
      <c r="D92" s="7"/>
      <c r="E92" s="8"/>
      <c r="F92" s="8"/>
      <c r="G92" s="7" t="str">
        <f t="shared" si="2"/>
        <v/>
      </c>
      <c r="H92" s="8"/>
    </row>
    <row r="93" spans="1:8" ht="12.75">
      <c r="A93" s="2">
        <v>90</v>
      </c>
      <c r="B93" s="7"/>
      <c r="C93" s="7"/>
      <c r="D93" s="7"/>
      <c r="E93" s="8"/>
      <c r="F93" s="8"/>
      <c r="G93" s="7" t="str">
        <f t="shared" si="2"/>
        <v/>
      </c>
      <c r="H93" s="8"/>
    </row>
    <row r="94" spans="1:8" ht="12.75">
      <c r="A94" s="2">
        <v>91</v>
      </c>
      <c r="B94" s="7"/>
      <c r="C94" s="7"/>
      <c r="D94" s="7"/>
      <c r="E94" s="8"/>
      <c r="F94" s="8"/>
      <c r="G94" s="7" t="str">
        <f t="shared" si="2"/>
        <v/>
      </c>
      <c r="H94" s="8"/>
    </row>
    <row r="95" spans="1:8" ht="12.75">
      <c r="A95" s="2">
        <v>92</v>
      </c>
      <c r="B95" s="7"/>
      <c r="C95" s="7"/>
      <c r="D95" s="7"/>
      <c r="E95" s="8"/>
      <c r="F95" s="8"/>
      <c r="G95" s="7" t="str">
        <f t="shared" si="2"/>
        <v/>
      </c>
      <c r="H95" s="8"/>
    </row>
    <row r="96" spans="1:8" ht="12.75">
      <c r="A96" s="2">
        <v>93</v>
      </c>
      <c r="B96" s="7"/>
      <c r="C96" s="7"/>
      <c r="D96" s="7"/>
      <c r="E96" s="8"/>
      <c r="F96" s="8"/>
      <c r="G96" s="7" t="str">
        <f t="shared" si="2"/>
        <v/>
      </c>
      <c r="H96" s="8"/>
    </row>
    <row r="97" spans="1:8" ht="12.75">
      <c r="A97" s="2">
        <v>94</v>
      </c>
      <c r="B97" s="7"/>
      <c r="C97" s="7"/>
      <c r="D97" s="7"/>
      <c r="E97" s="8"/>
      <c r="F97" s="8"/>
      <c r="G97" s="7" t="str">
        <f t="shared" si="2"/>
        <v/>
      </c>
      <c r="H97" s="8"/>
    </row>
    <row r="98" spans="1:8" ht="12.75">
      <c r="A98" s="2">
        <v>95</v>
      </c>
      <c r="B98" s="7"/>
      <c r="C98" s="7"/>
      <c r="D98" s="7"/>
      <c r="E98" s="8"/>
      <c r="F98" s="8"/>
      <c r="G98" s="7" t="str">
        <f t="shared" si="2"/>
        <v/>
      </c>
      <c r="H98" s="8"/>
    </row>
    <row r="99" spans="1:8" ht="12.75">
      <c r="A99" s="2">
        <v>96</v>
      </c>
      <c r="B99" s="7"/>
      <c r="C99" s="7"/>
      <c r="D99" s="7"/>
      <c r="E99" s="8"/>
      <c r="F99" s="8"/>
      <c r="G99" s="7" t="str">
        <f t="shared" si="2"/>
        <v/>
      </c>
      <c r="H99" s="8"/>
    </row>
    <row r="100" spans="1:8" ht="12.75">
      <c r="A100" s="2">
        <v>97</v>
      </c>
      <c r="B100" s="7"/>
      <c r="C100" s="7"/>
      <c r="D100" s="7"/>
      <c r="E100" s="8"/>
      <c r="F100" s="8"/>
      <c r="G100" s="7" t="str">
        <f t="shared" si="2"/>
        <v/>
      </c>
      <c r="H100" s="8"/>
    </row>
    <row r="101" spans="1:8" ht="12.75">
      <c r="A101" s="2">
        <v>98</v>
      </c>
      <c r="B101" s="7"/>
      <c r="C101" s="7"/>
      <c r="D101" s="7"/>
      <c r="E101" s="8"/>
      <c r="F101" s="8"/>
      <c r="G101" s="7" t="str">
        <f t="shared" si="2"/>
        <v/>
      </c>
      <c r="H101" s="8"/>
    </row>
    <row r="102" spans="1:8" ht="12.75">
      <c r="A102" s="2">
        <v>99</v>
      </c>
      <c r="B102" s="7"/>
      <c r="C102" s="7"/>
      <c r="D102" s="7"/>
      <c r="E102" s="8"/>
      <c r="F102" s="8"/>
      <c r="G102" s="7" t="str">
        <f t="shared" si="2"/>
        <v/>
      </c>
      <c r="H102" s="8"/>
    </row>
    <row r="103" spans="1:8" ht="12.75">
      <c r="A103" s="2">
        <v>100</v>
      </c>
      <c r="B103" s="7"/>
      <c r="C103" s="7"/>
      <c r="D103" s="7"/>
      <c r="E103" s="8"/>
      <c r="F103" s="8"/>
      <c r="G103" s="7" t="str">
        <f t="shared" si="2"/>
        <v/>
      </c>
      <c r="H103" s="8"/>
    </row>
    <row r="104" spans="1:8" ht="12.75">
      <c r="A104" s="2">
        <v>101</v>
      </c>
      <c r="B104" s="7"/>
      <c r="C104" s="7"/>
      <c r="D104" s="7"/>
      <c r="E104" s="8"/>
      <c r="F104" s="8"/>
      <c r="G104" s="7" t="str">
        <f t="shared" si="2"/>
        <v/>
      </c>
      <c r="H104" s="8"/>
    </row>
    <row r="105" spans="1:8" ht="12.75">
      <c r="A105" s="2">
        <v>102</v>
      </c>
      <c r="B105" s="7"/>
      <c r="C105" s="7"/>
      <c r="D105" s="7"/>
      <c r="E105" s="8"/>
      <c r="F105" s="8"/>
      <c r="G105" s="7" t="str">
        <f t="shared" si="2"/>
        <v/>
      </c>
      <c r="H105" s="8"/>
    </row>
    <row r="106" spans="1:8" ht="12.75">
      <c r="A106" s="2">
        <v>103</v>
      </c>
      <c r="B106" s="7"/>
      <c r="C106" s="7"/>
      <c r="D106" s="7"/>
      <c r="E106" s="8"/>
      <c r="F106" s="8"/>
      <c r="G106" s="7" t="str">
        <f t="shared" si="2"/>
        <v/>
      </c>
      <c r="H106" s="8"/>
    </row>
    <row r="107" spans="1:8" ht="12.75">
      <c r="A107" s="2">
        <v>104</v>
      </c>
      <c r="B107" s="7"/>
      <c r="C107" s="7"/>
      <c r="D107" s="7"/>
      <c r="E107" s="8"/>
      <c r="F107" s="8"/>
      <c r="G107" s="7" t="str">
        <f t="shared" si="2"/>
        <v/>
      </c>
      <c r="H107" s="8"/>
    </row>
    <row r="108" spans="1:8" ht="12.75">
      <c r="A108" s="2">
        <v>105</v>
      </c>
      <c r="B108" s="7"/>
      <c r="C108" s="7"/>
      <c r="D108" s="7"/>
      <c r="E108" s="8"/>
      <c r="F108" s="8"/>
      <c r="G108" s="7" t="str">
        <f t="shared" si="2"/>
        <v/>
      </c>
      <c r="H108" s="8"/>
    </row>
    <row r="109" spans="1:8" ht="12.75">
      <c r="A109" s="2">
        <v>106</v>
      </c>
      <c r="B109" s="7"/>
      <c r="C109" s="7"/>
      <c r="D109" s="7"/>
      <c r="E109" s="8"/>
      <c r="F109" s="8"/>
      <c r="G109" s="7" t="str">
        <f t="shared" si="2"/>
        <v/>
      </c>
      <c r="H109" s="8"/>
    </row>
    <row r="110" spans="1:8" ht="12.75">
      <c r="A110" s="2">
        <v>107</v>
      </c>
      <c r="B110" s="7"/>
      <c r="C110" s="7"/>
      <c r="D110" s="7"/>
      <c r="E110" s="8"/>
      <c r="F110" s="8"/>
      <c r="G110" s="7" t="str">
        <f t="shared" si="2"/>
        <v/>
      </c>
      <c r="H110" s="8"/>
    </row>
    <row r="111" spans="1:8" ht="12.75">
      <c r="A111" s="2">
        <v>108</v>
      </c>
      <c r="B111" s="7"/>
      <c r="C111" s="7"/>
      <c r="D111" s="7"/>
      <c r="E111" s="8"/>
      <c r="F111" s="8"/>
      <c r="G111" s="7" t="str">
        <f t="shared" si="2"/>
        <v/>
      </c>
      <c r="H111" s="8"/>
    </row>
    <row r="112" spans="1:8" ht="12.75">
      <c r="A112" s="2">
        <v>109</v>
      </c>
      <c r="B112" s="7"/>
      <c r="C112" s="7"/>
      <c r="D112" s="7"/>
      <c r="E112" s="8"/>
      <c r="F112" s="8"/>
      <c r="G112" s="7" t="str">
        <f t="shared" si="2"/>
        <v/>
      </c>
      <c r="H112" s="8"/>
    </row>
    <row r="113" spans="1:8" ht="12.75">
      <c r="A113" s="2">
        <v>110</v>
      </c>
      <c r="B113" s="7"/>
      <c r="C113" s="7"/>
      <c r="D113" s="7"/>
      <c r="E113" s="8"/>
      <c r="F113" s="8"/>
      <c r="G113" s="7" t="str">
        <f t="shared" si="2"/>
        <v/>
      </c>
      <c r="H113" s="8"/>
    </row>
    <row r="114" spans="1:8" ht="12.75">
      <c r="A114" s="2">
        <v>111</v>
      </c>
      <c r="B114" s="7"/>
      <c r="C114" s="7"/>
      <c r="D114" s="7"/>
      <c r="E114" s="8"/>
      <c r="F114" s="8"/>
      <c r="G114" s="7" t="str">
        <f t="shared" si="2"/>
        <v/>
      </c>
      <c r="H114" s="8"/>
    </row>
    <row r="115" spans="1:8" ht="12.75">
      <c r="A115" s="2">
        <v>112</v>
      </c>
      <c r="B115" s="7"/>
      <c r="C115" s="7"/>
      <c r="D115" s="7"/>
      <c r="E115" s="8"/>
      <c r="F115" s="8"/>
      <c r="G115" s="7" t="str">
        <f t="shared" si="2"/>
        <v/>
      </c>
      <c r="H115" s="8"/>
    </row>
    <row r="116" spans="1:8" ht="12.75">
      <c r="A116" s="2">
        <v>113</v>
      </c>
      <c r="B116" s="7"/>
      <c r="C116" s="7"/>
      <c r="D116" s="7"/>
      <c r="E116" s="8"/>
      <c r="F116" s="8"/>
      <c r="G116" s="7" t="str">
        <f t="shared" si="2"/>
        <v/>
      </c>
      <c r="H116" s="8"/>
    </row>
    <row r="117" spans="1:8" ht="12.75">
      <c r="A117" s="2">
        <v>114</v>
      </c>
      <c r="B117" s="7"/>
      <c r="C117" s="7"/>
      <c r="D117" s="7"/>
      <c r="E117" s="8"/>
      <c r="F117" s="8"/>
      <c r="G117" s="7" t="str">
        <f t="shared" si="2"/>
        <v/>
      </c>
      <c r="H117" s="8"/>
    </row>
    <row r="118" spans="1:8" ht="12.75">
      <c r="A118" s="2">
        <v>115</v>
      </c>
      <c r="B118" s="7"/>
      <c r="C118" s="7"/>
      <c r="D118" s="7"/>
      <c r="E118" s="8"/>
      <c r="F118" s="8"/>
      <c r="G118" s="7" t="str">
        <f t="shared" si="2"/>
        <v/>
      </c>
      <c r="H118" s="8"/>
    </row>
    <row r="119" spans="1:8" ht="12.75">
      <c r="A119" s="2">
        <v>116</v>
      </c>
      <c r="B119" s="7"/>
      <c r="C119" s="7"/>
      <c r="D119" s="7"/>
      <c r="E119" s="8"/>
      <c r="F119" s="8"/>
      <c r="G119" s="7" t="str">
        <f t="shared" si="2"/>
        <v/>
      </c>
      <c r="H119" s="8"/>
    </row>
    <row r="120" spans="1:8" ht="12.75">
      <c r="A120" s="2">
        <v>117</v>
      </c>
      <c r="B120" s="7"/>
      <c r="C120" s="7"/>
      <c r="D120" s="7"/>
      <c r="E120" s="8"/>
      <c r="F120" s="8"/>
      <c r="G120" s="7" t="str">
        <f t="shared" si="2"/>
        <v/>
      </c>
      <c r="H120" s="8"/>
    </row>
    <row r="121" spans="1:8" ht="12.75">
      <c r="A121" s="2">
        <v>118</v>
      </c>
      <c r="B121" s="7"/>
      <c r="C121" s="7"/>
      <c r="D121" s="7"/>
      <c r="E121" s="8"/>
      <c r="F121" s="8"/>
      <c r="G121" s="7" t="str">
        <f t="shared" si="2"/>
        <v/>
      </c>
      <c r="H121" s="8"/>
    </row>
    <row r="122" spans="1:8" ht="12.75">
      <c r="A122" s="2">
        <v>119</v>
      </c>
      <c r="B122" s="7"/>
      <c r="C122" s="7"/>
      <c r="D122" s="7"/>
      <c r="E122" s="8"/>
      <c r="F122" s="8"/>
      <c r="G122" s="7" t="str">
        <f t="shared" si="2"/>
        <v/>
      </c>
      <c r="H122" s="8"/>
    </row>
    <row r="123" spans="1:8" ht="12.75">
      <c r="A123" s="2">
        <v>120</v>
      </c>
      <c r="B123" s="7"/>
      <c r="C123" s="7"/>
      <c r="D123" s="7"/>
      <c r="E123" s="8"/>
      <c r="F123" s="8"/>
      <c r="G123" s="7" t="str">
        <f t="shared" si="2"/>
        <v/>
      </c>
      <c r="H123" s="8"/>
    </row>
    <row r="124" spans="1:8" ht="12.75">
      <c r="A124" s="2">
        <v>121</v>
      </c>
      <c r="B124" s="7"/>
      <c r="C124" s="7"/>
      <c r="D124" s="7"/>
      <c r="E124" s="8"/>
      <c r="F124" s="8"/>
      <c r="G124" s="7" t="str">
        <f t="shared" si="2"/>
        <v/>
      </c>
      <c r="H124" s="8"/>
    </row>
    <row r="125" spans="1:8" ht="12.75">
      <c r="A125" s="2">
        <v>122</v>
      </c>
      <c r="B125" s="7"/>
      <c r="C125" s="7"/>
      <c r="D125" s="7"/>
      <c r="E125" s="8"/>
      <c r="F125" s="8"/>
      <c r="G125" s="7" t="str">
        <f t="shared" si="2"/>
        <v/>
      </c>
      <c r="H125" s="8"/>
    </row>
    <row r="126" spans="1:8" ht="12.75">
      <c r="A126" s="2">
        <v>123</v>
      </c>
      <c r="B126" s="7"/>
      <c r="C126" s="7"/>
      <c r="D126" s="7"/>
      <c r="E126" s="8"/>
      <c r="F126" s="8"/>
      <c r="G126" s="7" t="str">
        <f t="shared" si="2"/>
        <v/>
      </c>
      <c r="H126" s="8"/>
    </row>
    <row r="127" spans="1:8" ht="12.75">
      <c r="A127" s="2">
        <v>124</v>
      </c>
      <c r="B127" s="7"/>
      <c r="C127" s="7"/>
      <c r="D127" s="7"/>
      <c r="E127" s="8"/>
      <c r="F127" s="8"/>
      <c r="G127" s="7" t="str">
        <f t="shared" si="2"/>
        <v/>
      </c>
      <c r="H127" s="8"/>
    </row>
    <row r="128" spans="1:8" ht="12.75">
      <c r="A128" s="2">
        <v>125</v>
      </c>
      <c r="B128" s="7"/>
      <c r="C128" s="7"/>
      <c r="D128" s="7"/>
      <c r="E128" s="8"/>
      <c r="F128" s="8"/>
      <c r="G128" s="7" t="str">
        <f t="shared" si="2"/>
        <v/>
      </c>
      <c r="H128" s="8"/>
    </row>
    <row r="129" spans="1:8" ht="12.75">
      <c r="A129" s="2">
        <v>126</v>
      </c>
      <c r="B129" s="7"/>
      <c r="C129" s="7"/>
      <c r="D129" s="7"/>
      <c r="E129" s="8"/>
      <c r="F129" s="8"/>
      <c r="G129" s="7" t="str">
        <f t="shared" si="2"/>
        <v/>
      </c>
      <c r="H129" s="8"/>
    </row>
    <row r="130" spans="1:8" ht="12.75">
      <c r="A130" s="2">
        <v>127</v>
      </c>
      <c r="B130" s="7"/>
      <c r="C130" s="7"/>
      <c r="D130" s="7"/>
      <c r="E130" s="8"/>
      <c r="F130" s="8"/>
      <c r="G130" s="7" t="str">
        <f t="shared" si="2"/>
        <v/>
      </c>
      <c r="H130" s="8"/>
    </row>
    <row r="131" spans="1:8" ht="12.75">
      <c r="A131" s="2">
        <v>128</v>
      </c>
      <c r="B131" s="7"/>
      <c r="C131" s="7"/>
      <c r="D131" s="7"/>
      <c r="E131" s="8"/>
      <c r="F131" s="8"/>
      <c r="G131" s="7" t="str">
        <f t="shared" si="2"/>
        <v/>
      </c>
      <c r="H131" s="8"/>
    </row>
    <row r="132" spans="1:8" ht="12.75">
      <c r="A132" s="2">
        <v>129</v>
      </c>
      <c r="B132" s="7"/>
      <c r="C132" s="7"/>
      <c r="D132" s="7"/>
      <c r="E132" s="8"/>
      <c r="F132" s="8"/>
      <c r="G132" s="7" t="str">
        <f t="shared" si="2"/>
        <v/>
      </c>
      <c r="H132" s="8"/>
    </row>
    <row r="133" spans="1:8" ht="12.75">
      <c r="A133" s="2">
        <v>130</v>
      </c>
      <c r="B133" s="7"/>
      <c r="C133" s="7"/>
      <c r="D133" s="7"/>
      <c r="E133" s="8"/>
      <c r="F133" s="8"/>
      <c r="G133" s="7" t="str">
        <f t="shared" si="2"/>
        <v/>
      </c>
      <c r="H133" s="8"/>
    </row>
    <row r="134" spans="1:8" ht="12.75">
      <c r="A134" s="2">
        <v>131</v>
      </c>
      <c r="B134" s="7"/>
      <c r="C134" s="7"/>
      <c r="D134" s="7"/>
      <c r="E134" s="8"/>
      <c r="F134" s="8"/>
      <c r="G134" s="7" t="str">
        <f t="shared" si="2"/>
        <v/>
      </c>
      <c r="H134" s="8"/>
    </row>
    <row r="135" spans="1:8" ht="12.75">
      <c r="A135" s="2">
        <v>132</v>
      </c>
      <c r="B135" s="7"/>
      <c r="C135" s="7"/>
      <c r="D135" s="7"/>
      <c r="E135" s="8"/>
      <c r="F135" s="8"/>
      <c r="G135" s="7" t="str">
        <f t="shared" si="2"/>
        <v/>
      </c>
      <c r="H135" s="8"/>
    </row>
    <row r="136" spans="1:8" ht="12.75">
      <c r="A136" s="2">
        <v>133</v>
      </c>
      <c r="B136" s="7"/>
      <c r="C136" s="7"/>
      <c r="D136" s="7"/>
      <c r="E136" s="8"/>
      <c r="F136" s="8"/>
      <c r="G136" s="7" t="str">
        <f t="shared" si="2"/>
        <v/>
      </c>
      <c r="H136" s="8"/>
    </row>
    <row r="137" spans="1:8" ht="12.75">
      <c r="A137" s="2">
        <v>134</v>
      </c>
      <c r="B137" s="7"/>
      <c r="C137" s="7"/>
      <c r="D137" s="7"/>
      <c r="E137" s="8"/>
      <c r="F137" s="8"/>
      <c r="G137" s="7" t="str">
        <f t="shared" si="2"/>
        <v/>
      </c>
      <c r="H137" s="8"/>
    </row>
    <row r="138" spans="1:8" ht="12.75">
      <c r="A138" s="2">
        <v>135</v>
      </c>
      <c r="B138" s="7"/>
      <c r="C138" s="7"/>
      <c r="D138" s="7"/>
      <c r="E138" s="8"/>
      <c r="F138" s="8"/>
      <c r="G138" s="7" t="str">
        <f t="shared" si="2"/>
        <v/>
      </c>
      <c r="H138" s="8"/>
    </row>
    <row r="139" spans="1:8" ht="12.75">
      <c r="A139" s="2">
        <v>136</v>
      </c>
      <c r="B139" s="7"/>
      <c r="C139" s="7"/>
      <c r="D139" s="7"/>
      <c r="E139" s="8"/>
      <c r="F139" s="8"/>
      <c r="G139" s="7" t="str">
        <f t="shared" si="2"/>
        <v/>
      </c>
      <c r="H139" s="8"/>
    </row>
    <row r="140" spans="1:8" ht="12.75">
      <c r="A140" s="2">
        <v>137</v>
      </c>
      <c r="B140" s="7"/>
      <c r="C140" s="7"/>
      <c r="D140" s="7"/>
      <c r="E140" s="8"/>
      <c r="F140" s="8"/>
      <c r="G140" s="7" t="str">
        <f t="shared" si="2"/>
        <v/>
      </c>
      <c r="H140" s="8"/>
    </row>
    <row r="141" spans="1:8" ht="12.75">
      <c r="A141" s="2">
        <v>138</v>
      </c>
      <c r="B141" s="7"/>
      <c r="C141" s="7"/>
      <c r="D141" s="7"/>
      <c r="E141" s="8"/>
      <c r="F141" s="8"/>
      <c r="G141" s="7" t="str">
        <f t="shared" si="2"/>
        <v/>
      </c>
      <c r="H141" s="8"/>
    </row>
    <row r="142" spans="1:8" ht="12.75">
      <c r="A142" s="2">
        <v>139</v>
      </c>
      <c r="B142" s="7"/>
      <c r="C142" s="7"/>
      <c r="D142" s="7"/>
      <c r="E142" s="8"/>
      <c r="F142" s="8"/>
      <c r="G142" s="7" t="str">
        <f t="shared" si="2"/>
        <v/>
      </c>
      <c r="H142" s="8"/>
    </row>
    <row r="143" spans="1:8" ht="12.75">
      <c r="A143" s="2">
        <v>140</v>
      </c>
      <c r="B143" s="7"/>
      <c r="C143" s="7"/>
      <c r="D143" s="7"/>
      <c r="E143" s="8"/>
      <c r="F143" s="8"/>
      <c r="G143" s="7" t="str">
        <f t="shared" si="2"/>
        <v/>
      </c>
      <c r="H143" s="8"/>
    </row>
    <row r="144" spans="1:8" ht="12.75">
      <c r="A144" s="2">
        <v>141</v>
      </c>
      <c r="B144" s="7"/>
      <c r="C144" s="7"/>
      <c r="D144" s="7"/>
      <c r="E144" s="8"/>
      <c r="F144" s="8"/>
      <c r="G144" s="7" t="str">
        <f t="shared" si="2"/>
        <v/>
      </c>
      <c r="H144" s="8"/>
    </row>
    <row r="145" spans="1:8" ht="12.75">
      <c r="A145" s="2">
        <v>142</v>
      </c>
      <c r="B145" s="7"/>
      <c r="C145" s="7"/>
      <c r="D145" s="7"/>
      <c r="E145" s="8"/>
      <c r="F145" s="8"/>
      <c r="G145" s="7" t="str">
        <f t="shared" si="2"/>
        <v/>
      </c>
      <c r="H145" s="8"/>
    </row>
    <row r="146" spans="1:8" ht="12.75">
      <c r="A146" s="2">
        <v>143</v>
      </c>
      <c r="B146" s="7"/>
      <c r="C146" s="7"/>
      <c r="D146" s="7"/>
      <c r="E146" s="8"/>
      <c r="F146" s="8"/>
      <c r="G146" s="7" t="str">
        <f t="shared" si="2"/>
        <v/>
      </c>
      <c r="H146" s="8"/>
    </row>
    <row r="147" spans="1:8" ht="12.75">
      <c r="A147" s="2">
        <v>144</v>
      </c>
      <c r="B147" s="7"/>
      <c r="C147" s="7"/>
      <c r="D147" s="7"/>
      <c r="E147" s="8"/>
      <c r="F147" s="8"/>
      <c r="G147" s="7" t="str">
        <f t="shared" si="2"/>
        <v/>
      </c>
      <c r="H147" s="8"/>
    </row>
    <row r="148" spans="1:8" ht="12.75">
      <c r="A148" s="2">
        <v>145</v>
      </c>
      <c r="B148" s="7"/>
      <c r="C148" s="7"/>
      <c r="D148" s="7"/>
      <c r="E148" s="8"/>
      <c r="F148" s="8"/>
      <c r="G148" s="7" t="str">
        <f t="shared" si="2"/>
        <v/>
      </c>
      <c r="H148" s="8"/>
    </row>
    <row r="149" spans="1:8" ht="12.75">
      <c r="A149" s="2">
        <v>146</v>
      </c>
      <c r="B149" s="7"/>
      <c r="C149" s="7"/>
      <c r="D149" s="7"/>
      <c r="E149" s="8"/>
      <c r="F149" s="8"/>
      <c r="G149" s="7" t="str">
        <f t="shared" si="2"/>
        <v/>
      </c>
      <c r="H149" s="8"/>
    </row>
    <row r="150" spans="1:8" ht="12.75">
      <c r="A150" s="2">
        <v>147</v>
      </c>
      <c r="B150" s="7"/>
      <c r="C150" s="7"/>
      <c r="D150" s="7"/>
      <c r="E150" s="8"/>
      <c r="F150" s="8"/>
      <c r="G150" s="7" t="str">
        <f t="shared" si="2"/>
        <v/>
      </c>
      <c r="H150" s="8"/>
    </row>
    <row r="151" spans="1:8" ht="12.75">
      <c r="A151" s="2">
        <v>148</v>
      </c>
      <c r="B151" s="7"/>
      <c r="C151" s="7"/>
      <c r="D151" s="7"/>
      <c r="E151" s="8"/>
      <c r="F151" s="8"/>
      <c r="G151" s="7" t="str">
        <f t="shared" si="2"/>
        <v/>
      </c>
      <c r="H151" s="8"/>
    </row>
    <row r="152" spans="1:8" ht="12.75">
      <c r="A152" s="2">
        <v>149</v>
      </c>
      <c r="B152" s="7"/>
      <c r="C152" s="7"/>
      <c r="D152" s="7"/>
      <c r="E152" s="8"/>
      <c r="F152" s="8"/>
      <c r="G152" s="7" t="str">
        <f t="shared" si="2"/>
        <v/>
      </c>
      <c r="H152" s="8"/>
    </row>
    <row r="153" spans="1:8" ht="12.75">
      <c r="A153" s="2">
        <v>150</v>
      </c>
      <c r="B153" s="7"/>
      <c r="C153" s="7"/>
      <c r="D153" s="7"/>
      <c r="E153" s="8"/>
      <c r="F153" s="8"/>
      <c r="G153" s="7" t="str">
        <f t="shared" si="2"/>
        <v/>
      </c>
      <c r="H153" s="8"/>
    </row>
    <row r="154" spans="1:8" ht="12.75">
      <c r="A154" s="2">
        <v>151</v>
      </c>
      <c r="B154" s="7"/>
      <c r="C154" s="7"/>
      <c r="D154" s="7"/>
      <c r="E154" s="8"/>
      <c r="F154" s="8"/>
      <c r="G154" s="7" t="str">
        <f t="shared" si="2"/>
        <v/>
      </c>
      <c r="H154" s="8"/>
    </row>
    <row r="155" spans="1:8" ht="12.75">
      <c r="A155" s="2">
        <v>152</v>
      </c>
      <c r="B155" s="7"/>
      <c r="C155" s="7"/>
      <c r="D155" s="7"/>
      <c r="E155" s="8"/>
      <c r="F155" s="8"/>
      <c r="G155" s="7" t="str">
        <f t="shared" si="2"/>
        <v/>
      </c>
      <c r="H155" s="8"/>
    </row>
    <row r="156" spans="1:8" ht="12.75">
      <c r="A156" s="2">
        <v>153</v>
      </c>
      <c r="B156" s="7"/>
      <c r="C156" s="7"/>
      <c r="D156" s="7"/>
      <c r="E156" s="8"/>
      <c r="F156" s="8"/>
      <c r="G156" s="7" t="str">
        <f t="shared" si="2"/>
        <v/>
      </c>
      <c r="H156" s="8"/>
    </row>
    <row r="157" spans="1:8" ht="12.75">
      <c r="A157" s="2">
        <v>154</v>
      </c>
      <c r="B157" s="7"/>
      <c r="C157" s="7"/>
      <c r="D157" s="7"/>
      <c r="E157" s="8"/>
      <c r="F157" s="8"/>
      <c r="G157" s="7" t="str">
        <f t="shared" si="2"/>
        <v/>
      </c>
      <c r="H157" s="8"/>
    </row>
    <row r="158" spans="1:8" ht="12.75">
      <c r="A158" s="2">
        <v>155</v>
      </c>
      <c r="B158" s="7"/>
      <c r="C158" s="7"/>
      <c r="D158" s="7"/>
      <c r="E158" s="8"/>
      <c r="F158" s="8"/>
      <c r="G158" s="7" t="str">
        <f t="shared" si="2"/>
        <v/>
      </c>
      <c r="H158" s="8"/>
    </row>
    <row r="159" spans="1:8" ht="12.75">
      <c r="A159" s="2">
        <v>156</v>
      </c>
      <c r="B159" s="7"/>
      <c r="C159" s="7"/>
      <c r="D159" s="7"/>
      <c r="E159" s="8"/>
      <c r="F159" s="8"/>
      <c r="G159" s="7" t="str">
        <f t="shared" si="2"/>
        <v/>
      </c>
      <c r="H159" s="8"/>
    </row>
    <row r="160" spans="1:8" ht="12.75">
      <c r="A160" s="2">
        <v>157</v>
      </c>
      <c r="B160" s="7"/>
      <c r="C160" s="7"/>
      <c r="D160" s="7"/>
      <c r="E160" s="8"/>
      <c r="F160" s="8"/>
      <c r="G160" s="7" t="str">
        <f t="shared" si="2"/>
        <v/>
      </c>
      <c r="H160" s="8"/>
    </row>
    <row r="161" spans="1:8" ht="12.75">
      <c r="A161" s="2">
        <v>158</v>
      </c>
      <c r="B161" s="7"/>
      <c r="C161" s="7"/>
      <c r="D161" s="7"/>
      <c r="E161" s="8"/>
      <c r="F161" s="8"/>
      <c r="G161" s="7" t="str">
        <f t="shared" si="2"/>
        <v/>
      </c>
      <c r="H161" s="8"/>
    </row>
    <row r="162" spans="1:8" ht="12.75">
      <c r="A162" s="2">
        <v>159</v>
      </c>
      <c r="B162" s="7"/>
      <c r="C162" s="7"/>
      <c r="D162" s="7"/>
      <c r="E162" s="8"/>
      <c r="F162" s="8"/>
      <c r="G162" s="7" t="str">
        <f t="shared" si="2"/>
        <v/>
      </c>
      <c r="H162" s="8"/>
    </row>
    <row r="163" spans="1:8" ht="12.75">
      <c r="A163" s="2">
        <v>160</v>
      </c>
      <c r="B163" s="7"/>
      <c r="C163" s="7"/>
      <c r="D163" s="7"/>
      <c r="E163" s="8"/>
      <c r="F163" s="8"/>
      <c r="G163" s="7" t="str">
        <f t="shared" si="2"/>
        <v/>
      </c>
      <c r="H163" s="8"/>
    </row>
    <row r="164" spans="1:8" ht="12.75">
      <c r="A164" s="2">
        <v>161</v>
      </c>
      <c r="B164" s="7"/>
      <c r="C164" s="7"/>
      <c r="D164" s="7"/>
      <c r="E164" s="8"/>
      <c r="F164" s="8"/>
      <c r="G164" s="7" t="str">
        <f t="shared" si="2"/>
        <v/>
      </c>
      <c r="H164" s="8"/>
    </row>
    <row r="165" spans="1:8" ht="12.75">
      <c r="A165" s="2">
        <v>162</v>
      </c>
      <c r="B165" s="7"/>
      <c r="C165" s="7"/>
      <c r="D165" s="7"/>
      <c r="E165" s="8"/>
      <c r="F165" s="8"/>
      <c r="G165" s="7" t="str">
        <f t="shared" si="2"/>
        <v/>
      </c>
      <c r="H165" s="8"/>
    </row>
    <row r="166" spans="1:8" ht="12.75">
      <c r="A166" s="2">
        <v>163</v>
      </c>
      <c r="B166" s="7"/>
      <c r="C166" s="7"/>
      <c r="D166" s="7"/>
      <c r="E166" s="8"/>
      <c r="F166" s="8"/>
      <c r="G166" s="7" t="str">
        <f t="shared" si="2"/>
        <v/>
      </c>
      <c r="H166" s="8"/>
    </row>
    <row r="167" spans="1:8" ht="12.75">
      <c r="A167" s="2">
        <v>164</v>
      </c>
      <c r="B167" s="7"/>
      <c r="C167" s="7"/>
      <c r="D167" s="7"/>
      <c r="E167" s="8"/>
      <c r="F167" s="8"/>
      <c r="G167" s="7" t="str">
        <f t="shared" si="2"/>
        <v/>
      </c>
      <c r="H167" s="8"/>
    </row>
    <row r="168" spans="1:8" ht="12.75">
      <c r="A168" s="2">
        <v>165</v>
      </c>
      <c r="B168" s="7"/>
      <c r="C168" s="7"/>
      <c r="D168" s="7"/>
      <c r="E168" s="8"/>
      <c r="F168" s="8"/>
      <c r="G168" s="7" t="str">
        <f t="shared" si="2"/>
        <v/>
      </c>
      <c r="H168" s="8"/>
    </row>
    <row r="169" spans="1:8" ht="12.75">
      <c r="A169" s="2">
        <v>166</v>
      </c>
      <c r="B169" s="7"/>
      <c r="C169" s="7"/>
      <c r="D169" s="7"/>
      <c r="E169" s="8"/>
      <c r="F169" s="8"/>
      <c r="G169" s="7" t="str">
        <f t="shared" si="2"/>
        <v/>
      </c>
      <c r="H169" s="8"/>
    </row>
    <row r="170" spans="1:8" ht="12.75">
      <c r="A170" s="2">
        <v>167</v>
      </c>
      <c r="B170" s="7"/>
      <c r="C170" s="7"/>
      <c r="D170" s="7"/>
      <c r="E170" s="8"/>
      <c r="F170" s="8"/>
      <c r="G170" s="7" t="str">
        <f t="shared" si="2"/>
        <v/>
      </c>
      <c r="H170" s="8"/>
    </row>
    <row r="171" spans="1:8" ht="12.75">
      <c r="A171" s="2">
        <v>168</v>
      </c>
      <c r="B171" s="7"/>
      <c r="C171" s="7"/>
      <c r="D171" s="7"/>
      <c r="E171" s="8"/>
      <c r="F171" s="8"/>
      <c r="G171" s="7" t="str">
        <f t="shared" si="2"/>
        <v/>
      </c>
      <c r="H171" s="8"/>
    </row>
    <row r="172" spans="1:8" ht="12.75">
      <c r="A172" s="2">
        <v>169</v>
      </c>
      <c r="B172" s="7"/>
      <c r="C172" s="7"/>
      <c r="D172" s="7"/>
      <c r="E172" s="8"/>
      <c r="F172" s="8"/>
      <c r="G172" s="7" t="str">
        <f t="shared" si="2"/>
        <v/>
      </c>
      <c r="H172" s="8"/>
    </row>
    <row r="173" spans="1:8" ht="12.75">
      <c r="A173" s="2">
        <v>170</v>
      </c>
      <c r="B173" s="7"/>
      <c r="C173" s="7"/>
      <c r="D173" s="7"/>
      <c r="E173" s="8"/>
      <c r="F173" s="8"/>
      <c r="G173" s="7" t="str">
        <f t="shared" si="2"/>
        <v/>
      </c>
      <c r="H173" s="8"/>
    </row>
    <row r="174" spans="1:8" ht="12.75">
      <c r="A174" s="2">
        <v>171</v>
      </c>
      <c r="B174" s="7"/>
      <c r="C174" s="7"/>
      <c r="D174" s="7"/>
      <c r="E174" s="8"/>
      <c r="F174" s="8"/>
      <c r="G174" s="7" t="str">
        <f t="shared" si="2"/>
        <v/>
      </c>
      <c r="H174" s="8"/>
    </row>
    <row r="175" spans="1:8" ht="12.75">
      <c r="A175" s="2">
        <v>172</v>
      </c>
      <c r="B175" s="7"/>
      <c r="C175" s="7"/>
      <c r="D175" s="7"/>
      <c r="E175" s="8"/>
      <c r="F175" s="8"/>
      <c r="G175" s="7" t="str">
        <f t="shared" si="2"/>
        <v/>
      </c>
      <c r="H175" s="8"/>
    </row>
    <row r="176" spans="1:8" ht="12.75">
      <c r="A176" s="2">
        <v>173</v>
      </c>
      <c r="B176" s="7"/>
      <c r="C176" s="7"/>
      <c r="D176" s="7"/>
      <c r="E176" s="8"/>
      <c r="F176" s="8"/>
      <c r="G176" s="7" t="str">
        <f t="shared" si="2"/>
        <v/>
      </c>
      <c r="H176" s="8"/>
    </row>
    <row r="177" spans="1:8" ht="12.75">
      <c r="A177" s="2">
        <v>174</v>
      </c>
      <c r="B177" s="7"/>
      <c r="C177" s="7"/>
      <c r="D177" s="7"/>
      <c r="E177" s="8"/>
      <c r="F177" s="8"/>
      <c r="G177" s="7" t="str">
        <f t="shared" si="2"/>
        <v/>
      </c>
      <c r="H177" s="8"/>
    </row>
    <row r="178" spans="1:8" ht="12.75">
      <c r="A178" s="2">
        <v>175</v>
      </c>
      <c r="B178" s="7"/>
      <c r="C178" s="7"/>
      <c r="D178" s="7"/>
      <c r="E178" s="8"/>
      <c r="F178" s="8"/>
      <c r="G178" s="7" t="str">
        <f t="shared" si="2"/>
        <v/>
      </c>
      <c r="H178" s="8"/>
    </row>
    <row r="179" spans="1:8" ht="12.75">
      <c r="A179" s="2">
        <v>176</v>
      </c>
      <c r="B179" s="7"/>
      <c r="C179" s="7"/>
      <c r="D179" s="7"/>
      <c r="E179" s="8"/>
      <c r="F179" s="8"/>
      <c r="G179" s="7" t="str">
        <f t="shared" si="2"/>
        <v/>
      </c>
      <c r="H179" s="8"/>
    </row>
    <row r="180" spans="1:8" ht="12.75">
      <c r="A180" s="2">
        <v>177</v>
      </c>
      <c r="B180" s="7"/>
      <c r="C180" s="7"/>
      <c r="D180" s="7"/>
      <c r="E180" s="8"/>
      <c r="F180" s="8"/>
      <c r="G180" s="7" t="str">
        <f t="shared" si="2"/>
        <v/>
      </c>
      <c r="H180" s="8"/>
    </row>
    <row r="181" spans="1:8" ht="12.75">
      <c r="A181" s="2">
        <v>178</v>
      </c>
      <c r="B181" s="7"/>
      <c r="C181" s="7"/>
      <c r="D181" s="7"/>
      <c r="E181" s="8"/>
      <c r="F181" s="8"/>
      <c r="G181" s="7" t="str">
        <f t="shared" si="2"/>
        <v/>
      </c>
      <c r="H181" s="8"/>
    </row>
    <row r="182" spans="1:8" ht="12.75">
      <c r="A182" s="2">
        <v>179</v>
      </c>
      <c r="B182" s="7"/>
      <c r="C182" s="7"/>
      <c r="D182" s="7"/>
      <c r="E182" s="8"/>
      <c r="F182" s="8"/>
      <c r="G182" s="7" t="str">
        <f t="shared" si="2"/>
        <v/>
      </c>
      <c r="H182" s="8"/>
    </row>
    <row r="183" spans="1:8" ht="12.75">
      <c r="A183" s="2">
        <v>180</v>
      </c>
      <c r="B183" s="7"/>
      <c r="C183" s="7"/>
      <c r="D183" s="7"/>
      <c r="E183" s="8"/>
      <c r="F183" s="8"/>
      <c r="G183" s="7" t="str">
        <f t="shared" si="2"/>
        <v/>
      </c>
      <c r="H183" s="8"/>
    </row>
    <row r="184" spans="1:8" ht="12.75">
      <c r="A184" s="2">
        <v>181</v>
      </c>
      <c r="B184" s="7"/>
      <c r="C184" s="7"/>
      <c r="D184" s="7"/>
      <c r="E184" s="8"/>
      <c r="F184" s="8"/>
      <c r="G184" s="7" t="str">
        <f t="shared" si="2"/>
        <v/>
      </c>
      <c r="H184" s="8"/>
    </row>
    <row r="185" spans="1:8" ht="12.75">
      <c r="A185" s="2">
        <v>182</v>
      </c>
      <c r="B185" s="7"/>
      <c r="C185" s="7"/>
      <c r="D185" s="7"/>
      <c r="E185" s="8"/>
      <c r="F185" s="8"/>
      <c r="G185" s="7" t="str">
        <f t="shared" si="2"/>
        <v/>
      </c>
      <c r="H185" s="8"/>
    </row>
    <row r="186" spans="1:8" ht="12.75">
      <c r="A186" s="2">
        <v>183</v>
      </c>
      <c r="B186" s="7"/>
      <c r="C186" s="7"/>
      <c r="D186" s="7"/>
      <c r="E186" s="8"/>
      <c r="F186" s="8"/>
      <c r="G186" s="7" t="str">
        <f t="shared" si="2"/>
        <v/>
      </c>
      <c r="H186" s="8"/>
    </row>
    <row r="187" spans="1:8" ht="12.75">
      <c r="A187" s="2">
        <v>184</v>
      </c>
      <c r="B187" s="7"/>
      <c r="C187" s="7"/>
      <c r="D187" s="7"/>
      <c r="E187" s="8"/>
      <c r="F187" s="8"/>
      <c r="G187" s="7" t="str">
        <f t="shared" si="2"/>
        <v/>
      </c>
      <c r="H187" s="8"/>
    </row>
    <row r="188" spans="1:8" ht="12.75">
      <c r="A188" s="2">
        <v>185</v>
      </c>
      <c r="B188" s="7"/>
      <c r="C188" s="7"/>
      <c r="D188" s="7"/>
      <c r="E188" s="8"/>
      <c r="F188" s="8"/>
      <c r="G188" s="7" t="str">
        <f t="shared" si="2"/>
        <v/>
      </c>
      <c r="H188" s="8"/>
    </row>
    <row r="189" spans="1:8" ht="12.75">
      <c r="A189" s="2">
        <v>186</v>
      </c>
      <c r="B189" s="7"/>
      <c r="C189" s="7"/>
      <c r="D189" s="7"/>
      <c r="E189" s="8"/>
      <c r="F189" s="8"/>
      <c r="G189" s="7" t="str">
        <f t="shared" si="2"/>
        <v/>
      </c>
      <c r="H189" s="8"/>
    </row>
    <row r="190" spans="1:8" ht="12.75">
      <c r="A190" s="2">
        <v>187</v>
      </c>
      <c r="B190" s="7"/>
      <c r="C190" s="7"/>
      <c r="D190" s="7"/>
      <c r="E190" s="8"/>
      <c r="F190" s="8"/>
      <c r="G190" s="7" t="str">
        <f t="shared" si="2"/>
        <v/>
      </c>
      <c r="H190" s="8"/>
    </row>
    <row r="191" spans="1:8" ht="12.75">
      <c r="A191" s="2">
        <v>188</v>
      </c>
      <c r="B191" s="7"/>
      <c r="C191" s="7"/>
      <c r="D191" s="7"/>
      <c r="E191" s="8"/>
      <c r="F191" s="8"/>
      <c r="G191" s="7" t="str">
        <f t="shared" si="2"/>
        <v/>
      </c>
      <c r="H191" s="8"/>
    </row>
    <row r="192" spans="1:8" ht="12.75">
      <c r="A192" s="2">
        <v>189</v>
      </c>
      <c r="B192" s="7"/>
      <c r="C192" s="7"/>
      <c r="D192" s="7"/>
      <c r="E192" s="8"/>
      <c r="F192" s="8"/>
      <c r="G192" s="7" t="str">
        <f t="shared" si="2"/>
        <v/>
      </c>
      <c r="H192" s="8"/>
    </row>
    <row r="193" spans="1:8" ht="12.75">
      <c r="A193" s="2">
        <v>190</v>
      </c>
      <c r="B193" s="7"/>
      <c r="C193" s="7"/>
      <c r="D193" s="7"/>
      <c r="E193" s="8"/>
      <c r="F193" s="8"/>
      <c r="G193" s="7" t="str">
        <f t="shared" si="2"/>
        <v/>
      </c>
      <c r="H193" s="8"/>
    </row>
    <row r="194" spans="1:8" ht="12.75">
      <c r="A194" s="2">
        <v>191</v>
      </c>
      <c r="B194" s="7"/>
      <c r="C194" s="7"/>
      <c r="D194" s="7"/>
      <c r="E194" s="8"/>
      <c r="F194" s="8"/>
      <c r="G194" s="7" t="str">
        <f t="shared" si="2"/>
        <v/>
      </c>
      <c r="H194" s="8"/>
    </row>
    <row r="195" spans="1:8" ht="12.75">
      <c r="A195" s="2">
        <v>192</v>
      </c>
      <c r="B195" s="7"/>
      <c r="C195" s="7"/>
      <c r="D195" s="7"/>
      <c r="E195" s="8"/>
      <c r="F195" s="8"/>
      <c r="G195" s="7" t="str">
        <f t="shared" si="2"/>
        <v/>
      </c>
      <c r="H195" s="8"/>
    </row>
    <row r="196" spans="1:8" ht="12.75">
      <c r="A196" s="2">
        <v>193</v>
      </c>
      <c r="B196" s="7"/>
      <c r="C196" s="7"/>
      <c r="D196" s="7"/>
      <c r="E196" s="8"/>
      <c r="F196" s="8"/>
      <c r="G196" s="7" t="str">
        <f t="shared" si="2"/>
        <v/>
      </c>
      <c r="H196" s="8"/>
    </row>
    <row r="197" spans="1:8" ht="12.75">
      <c r="A197" s="2">
        <v>194</v>
      </c>
      <c r="B197" s="7"/>
      <c r="C197" s="7"/>
      <c r="D197" s="7"/>
      <c r="E197" s="8"/>
      <c r="F197" s="8"/>
      <c r="G197" s="7" t="str">
        <f t="shared" si="2"/>
        <v/>
      </c>
      <c r="H197" s="8"/>
    </row>
    <row r="198" spans="1:8" ht="12.75">
      <c r="A198" s="2">
        <v>195</v>
      </c>
      <c r="B198" s="7"/>
      <c r="C198" s="7"/>
      <c r="D198" s="7"/>
      <c r="E198" s="8"/>
      <c r="F198" s="8"/>
      <c r="G198" s="7" t="str">
        <f t="shared" si="2"/>
        <v/>
      </c>
      <c r="H198" s="8"/>
    </row>
    <row r="199" spans="1:8" ht="12.75">
      <c r="A199" s="2">
        <v>196</v>
      </c>
      <c r="B199" s="7"/>
      <c r="C199" s="7"/>
      <c r="D199" s="7"/>
      <c r="E199" s="8"/>
      <c r="F199" s="8"/>
      <c r="G199" s="7" t="str">
        <f t="shared" si="2"/>
        <v/>
      </c>
      <c r="H199" s="8"/>
    </row>
    <row r="200" spans="1:8" ht="12.75">
      <c r="A200" s="2">
        <v>197</v>
      </c>
      <c r="B200" s="7"/>
      <c r="C200" s="7"/>
      <c r="D200" s="7"/>
      <c r="E200" s="8"/>
      <c r="F200" s="8"/>
      <c r="G200" s="7" t="str">
        <f t="shared" si="2"/>
        <v/>
      </c>
      <c r="H200" s="8"/>
    </row>
    <row r="201" spans="1:8" ht="12.75">
      <c r="A201" s="2">
        <v>198</v>
      </c>
      <c r="B201" s="7"/>
      <c r="C201" s="7"/>
      <c r="D201" s="7"/>
      <c r="E201" s="8"/>
      <c r="F201" s="8"/>
      <c r="G201" s="7" t="str">
        <f t="shared" si="2"/>
        <v/>
      </c>
      <c r="H201" s="8"/>
    </row>
    <row r="202" spans="1:8" ht="12.75">
      <c r="A202" s="2">
        <v>199</v>
      </c>
      <c r="B202" s="7"/>
      <c r="C202" s="7"/>
      <c r="D202" s="7"/>
      <c r="E202" s="8"/>
      <c r="F202" s="8"/>
      <c r="G202" s="7" t="str">
        <f t="shared" si="2"/>
        <v/>
      </c>
      <c r="H202" s="8"/>
    </row>
    <row r="203" spans="1:8" ht="12.75">
      <c r="A203" s="2">
        <v>200</v>
      </c>
      <c r="B203" s="7"/>
      <c r="C203" s="7"/>
      <c r="D203" s="7"/>
      <c r="E203" s="8"/>
      <c r="F203" s="8"/>
      <c r="G203" s="7" t="str">
        <f t="shared" si="2"/>
        <v/>
      </c>
      <c r="H203" s="8"/>
    </row>
    <row r="204" spans="1:8" ht="12.75">
      <c r="A204" s="2">
        <v>201</v>
      </c>
      <c r="B204" s="7"/>
      <c r="C204" s="7"/>
      <c r="D204" s="7"/>
      <c r="E204" s="8"/>
      <c r="F204" s="8"/>
      <c r="G204" s="7" t="str">
        <f t="shared" si="2"/>
        <v/>
      </c>
      <c r="H204" s="8"/>
    </row>
    <row r="205" spans="1:8" ht="12.75">
      <c r="A205" s="2">
        <v>202</v>
      </c>
      <c r="B205" s="7"/>
      <c r="C205" s="7"/>
      <c r="D205" s="7"/>
      <c r="E205" s="8"/>
      <c r="F205" s="8"/>
      <c r="G205" s="7" t="str">
        <f t="shared" si="2"/>
        <v/>
      </c>
      <c r="H205" s="8"/>
    </row>
    <row r="206" spans="1:8" ht="12.75">
      <c r="A206" s="2">
        <v>203</v>
      </c>
      <c r="B206" s="7"/>
      <c r="C206" s="7"/>
      <c r="D206" s="7"/>
      <c r="E206" s="8"/>
      <c r="F206" s="8"/>
      <c r="G206" s="7" t="str">
        <f t="shared" si="2"/>
        <v/>
      </c>
      <c r="H206" s="8"/>
    </row>
    <row r="207" spans="1:8" ht="12.75">
      <c r="A207" s="2">
        <v>204</v>
      </c>
      <c r="B207" s="7"/>
      <c r="C207" s="7"/>
      <c r="D207" s="7"/>
      <c r="E207" s="8"/>
      <c r="F207" s="8"/>
      <c r="G207" s="7" t="str">
        <f t="shared" si="2"/>
        <v/>
      </c>
      <c r="H207" s="8"/>
    </row>
    <row r="208" spans="1:8" ht="12.75">
      <c r="A208" s="2">
        <v>205</v>
      </c>
      <c r="B208" s="7"/>
      <c r="C208" s="7"/>
      <c r="D208" s="7"/>
      <c r="E208" s="8"/>
      <c r="F208" s="8"/>
      <c r="G208" s="7" t="str">
        <f t="shared" si="2"/>
        <v/>
      </c>
      <c r="H208" s="8"/>
    </row>
    <row r="209" spans="1:8" ht="12.75">
      <c r="A209" s="2">
        <v>206</v>
      </c>
      <c r="B209" s="7"/>
      <c r="C209" s="7"/>
      <c r="D209" s="7"/>
      <c r="E209" s="8"/>
      <c r="F209" s="8"/>
      <c r="G209" s="7" t="str">
        <f t="shared" si="2"/>
        <v/>
      </c>
      <c r="H209" s="8"/>
    </row>
    <row r="210" spans="1:8" ht="12.75">
      <c r="A210" s="2">
        <v>207</v>
      </c>
      <c r="B210" s="7"/>
      <c r="C210" s="7"/>
      <c r="D210" s="7"/>
      <c r="E210" s="8"/>
      <c r="F210" s="8"/>
      <c r="G210" s="7" t="str">
        <f t="shared" si="2"/>
        <v/>
      </c>
      <c r="H210" s="8"/>
    </row>
    <row r="211" spans="1:8" ht="12.75">
      <c r="A211" s="2">
        <v>208</v>
      </c>
      <c r="B211" s="7"/>
      <c r="C211" s="7"/>
      <c r="D211" s="7"/>
      <c r="E211" s="8"/>
      <c r="F211" s="8"/>
      <c r="G211" s="7" t="str">
        <f t="shared" si="2"/>
        <v/>
      </c>
      <c r="H211" s="8"/>
    </row>
    <row r="212" spans="1:8" ht="12.75">
      <c r="A212" s="2">
        <v>209</v>
      </c>
      <c r="B212" s="7"/>
      <c r="C212" s="7"/>
      <c r="D212" s="7"/>
      <c r="E212" s="8"/>
      <c r="F212" s="8"/>
      <c r="G212" s="7" t="str">
        <f t="shared" si="2"/>
        <v/>
      </c>
      <c r="H212" s="8"/>
    </row>
    <row r="213" spans="1:8" ht="12.75">
      <c r="A213" s="2">
        <v>210</v>
      </c>
      <c r="B213" s="7"/>
      <c r="C213" s="7"/>
      <c r="D213" s="7"/>
      <c r="E213" s="8"/>
      <c r="F213" s="8"/>
      <c r="G213" s="7" t="str">
        <f t="shared" si="2"/>
        <v/>
      </c>
      <c r="H213" s="8"/>
    </row>
    <row r="214" spans="1:8" ht="12.75">
      <c r="A214" s="2">
        <v>211</v>
      </c>
      <c r="B214" s="7"/>
      <c r="C214" s="7"/>
      <c r="D214" s="7"/>
      <c r="E214" s="8"/>
      <c r="F214" s="8"/>
      <c r="G214" s="7" t="str">
        <f t="shared" si="2"/>
        <v/>
      </c>
      <c r="H214" s="8"/>
    </row>
    <row r="215" spans="1:8" ht="12.75">
      <c r="A215" s="2">
        <v>212</v>
      </c>
      <c r="B215" s="7"/>
      <c r="C215" s="7"/>
      <c r="D215" s="7"/>
      <c r="E215" s="8"/>
      <c r="F215" s="8"/>
      <c r="G215" s="7" t="str">
        <f t="shared" si="2"/>
        <v/>
      </c>
      <c r="H215" s="8"/>
    </row>
    <row r="216" spans="1:8" ht="12.75">
      <c r="A216" s="2">
        <v>213</v>
      </c>
      <c r="B216" s="7"/>
      <c r="C216" s="7"/>
      <c r="D216" s="7"/>
      <c r="E216" s="8"/>
      <c r="F216" s="8"/>
      <c r="G216" s="7" t="str">
        <f t="shared" si="2"/>
        <v/>
      </c>
      <c r="H216" s="8"/>
    </row>
    <row r="217" spans="1:8" ht="12.75">
      <c r="A217" s="2">
        <v>214</v>
      </c>
      <c r="B217" s="7"/>
      <c r="C217" s="7"/>
      <c r="D217" s="7"/>
      <c r="E217" s="8"/>
      <c r="F217" s="8"/>
      <c r="G217" s="7" t="str">
        <f t="shared" si="2"/>
        <v/>
      </c>
      <c r="H217" s="8"/>
    </row>
    <row r="218" spans="1:8" ht="12.75">
      <c r="A218" s="2">
        <v>215</v>
      </c>
      <c r="B218" s="7"/>
      <c r="C218" s="7"/>
      <c r="D218" s="7"/>
      <c r="E218" s="8"/>
      <c r="F218" s="8"/>
      <c r="G218" s="7" t="str">
        <f t="shared" si="2"/>
        <v/>
      </c>
      <c r="H218" s="8"/>
    </row>
    <row r="219" spans="1:8" ht="12.75">
      <c r="A219" s="2">
        <v>216</v>
      </c>
      <c r="B219" s="7"/>
      <c r="C219" s="7"/>
      <c r="D219" s="7"/>
      <c r="E219" s="8"/>
      <c r="F219" s="8"/>
      <c r="G219" s="7" t="str">
        <f t="shared" si="2"/>
        <v/>
      </c>
      <c r="H219" s="8"/>
    </row>
    <row r="220" spans="1:8" ht="12.75">
      <c r="A220" s="2">
        <v>217</v>
      </c>
      <c r="B220" s="7"/>
      <c r="C220" s="7"/>
      <c r="D220" s="7"/>
      <c r="E220" s="8"/>
      <c r="F220" s="8"/>
      <c r="G220" s="7" t="str">
        <f t="shared" si="2"/>
        <v/>
      </c>
      <c r="H220" s="8"/>
    </row>
    <row r="221" spans="1:8" ht="12.75">
      <c r="A221" s="2">
        <v>218</v>
      </c>
      <c r="B221" s="7"/>
      <c r="C221" s="7"/>
      <c r="D221" s="7"/>
      <c r="E221" s="8"/>
      <c r="F221" s="8"/>
      <c r="G221" s="7" t="str">
        <f t="shared" si="2"/>
        <v/>
      </c>
      <c r="H221" s="8"/>
    </row>
    <row r="222" spans="1:8" ht="12.75">
      <c r="A222" s="2">
        <v>219</v>
      </c>
      <c r="B222" s="7"/>
      <c r="C222" s="7"/>
      <c r="D222" s="7"/>
      <c r="E222" s="8"/>
      <c r="F222" s="8"/>
      <c r="G222" s="7" t="str">
        <f t="shared" si="2"/>
        <v/>
      </c>
      <c r="H222" s="8"/>
    </row>
    <row r="223" spans="1:8" ht="12.75">
      <c r="A223" s="2">
        <v>220</v>
      </c>
      <c r="B223" s="7"/>
      <c r="C223" s="7"/>
      <c r="D223" s="7"/>
      <c r="E223" s="8"/>
      <c r="F223" s="8"/>
      <c r="G223" s="7" t="str">
        <f t="shared" si="2"/>
        <v/>
      </c>
      <c r="H223" s="8"/>
    </row>
    <row r="224" spans="1:8" ht="12.75">
      <c r="A224" s="2">
        <v>221</v>
      </c>
      <c r="B224" s="7"/>
      <c r="C224" s="7"/>
      <c r="D224" s="7"/>
      <c r="E224" s="8"/>
      <c r="F224" s="8"/>
      <c r="G224" s="7" t="str">
        <f t="shared" si="2"/>
        <v/>
      </c>
      <c r="H224" s="8"/>
    </row>
    <row r="225" spans="1:8" ht="12.75">
      <c r="A225" s="2">
        <v>222</v>
      </c>
      <c r="B225" s="7"/>
      <c r="C225" s="7"/>
      <c r="D225" s="7"/>
      <c r="E225" s="8"/>
      <c r="F225" s="8"/>
      <c r="G225" s="7" t="str">
        <f t="shared" si="2"/>
        <v/>
      </c>
      <c r="H225" s="8"/>
    </row>
    <row r="226" spans="1:8" ht="12.75">
      <c r="A226" s="2">
        <v>223</v>
      </c>
      <c r="B226" s="7"/>
      <c r="C226" s="7"/>
      <c r="D226" s="7"/>
      <c r="E226" s="8"/>
      <c r="F226" s="8"/>
      <c r="G226" s="7" t="str">
        <f t="shared" si="2"/>
        <v/>
      </c>
      <c r="H226" s="8"/>
    </row>
    <row r="227" spans="1:8" ht="12.75">
      <c r="A227" s="2">
        <v>224</v>
      </c>
      <c r="B227" s="7"/>
      <c r="C227" s="7"/>
      <c r="D227" s="7"/>
      <c r="E227" s="8"/>
      <c r="F227" s="8"/>
      <c r="G227" s="7" t="str">
        <f t="shared" si="2"/>
        <v/>
      </c>
      <c r="H227" s="8"/>
    </row>
    <row r="228" spans="1:8" ht="12.75">
      <c r="A228" s="2">
        <v>225</v>
      </c>
      <c r="B228" s="7"/>
      <c r="C228" s="7"/>
      <c r="D228" s="7"/>
      <c r="E228" s="8"/>
      <c r="F228" s="8"/>
      <c r="G228" s="7" t="str">
        <f t="shared" si="2"/>
        <v/>
      </c>
      <c r="H228" s="8"/>
    </row>
    <row r="229" spans="1:8" ht="12.75">
      <c r="A229" s="2">
        <v>226</v>
      </c>
      <c r="B229" s="7"/>
      <c r="C229" s="7"/>
      <c r="D229" s="7"/>
      <c r="E229" s="8"/>
      <c r="F229" s="8"/>
      <c r="G229" s="7" t="str">
        <f t="shared" si="2"/>
        <v/>
      </c>
      <c r="H229" s="8"/>
    </row>
    <row r="230" spans="1:8" ht="12.75">
      <c r="A230" s="2">
        <v>227</v>
      </c>
      <c r="B230" s="7"/>
      <c r="C230" s="7"/>
      <c r="D230" s="7"/>
      <c r="E230" s="8"/>
      <c r="F230" s="8"/>
      <c r="G230" s="7" t="str">
        <f t="shared" si="2"/>
        <v/>
      </c>
      <c r="H230" s="8"/>
    </row>
    <row r="231" spans="1:8" ht="12.75">
      <c r="A231" s="2">
        <v>228</v>
      </c>
      <c r="B231" s="7"/>
      <c r="C231" s="7"/>
      <c r="D231" s="7"/>
      <c r="E231" s="8"/>
      <c r="F231" s="8"/>
      <c r="G231" s="7" t="str">
        <f t="shared" si="2"/>
        <v/>
      </c>
      <c r="H231" s="8"/>
    </row>
    <row r="232" spans="1:8" ht="12.75">
      <c r="A232" s="2">
        <v>229</v>
      </c>
      <c r="B232" s="7"/>
      <c r="C232" s="7"/>
      <c r="D232" s="7"/>
      <c r="E232" s="8"/>
      <c r="F232" s="8"/>
      <c r="G232" s="7" t="str">
        <f t="shared" si="2"/>
        <v/>
      </c>
      <c r="H232" s="8"/>
    </row>
    <row r="233" spans="1:8" ht="12.75">
      <c r="A233" s="2">
        <v>230</v>
      </c>
      <c r="B233" s="7"/>
      <c r="C233" s="7"/>
      <c r="D233" s="7"/>
      <c r="E233" s="8"/>
      <c r="F233" s="8"/>
      <c r="G233" s="7" t="str">
        <f t="shared" si="2"/>
        <v/>
      </c>
      <c r="H233" s="8"/>
    </row>
    <row r="234" spans="1:8" ht="12.75">
      <c r="A234" s="2">
        <v>231</v>
      </c>
      <c r="B234" s="7"/>
      <c r="C234" s="7"/>
      <c r="D234" s="7"/>
      <c r="E234" s="8"/>
      <c r="F234" s="8"/>
      <c r="G234" s="7" t="str">
        <f t="shared" si="2"/>
        <v/>
      </c>
      <c r="H234" s="8"/>
    </row>
    <row r="235" spans="1:8" ht="12.75">
      <c r="A235" s="2">
        <v>232</v>
      </c>
      <c r="B235" s="7"/>
      <c r="C235" s="7"/>
      <c r="D235" s="7"/>
      <c r="E235" s="8"/>
      <c r="F235" s="8"/>
      <c r="G235" s="7" t="str">
        <f t="shared" si="2"/>
        <v/>
      </c>
      <c r="H235" s="8"/>
    </row>
    <row r="236" spans="1:8" ht="12.75">
      <c r="A236" s="2">
        <v>233</v>
      </c>
      <c r="B236" s="7"/>
      <c r="C236" s="7"/>
      <c r="D236" s="7"/>
      <c r="E236" s="8"/>
      <c r="F236" s="8"/>
      <c r="G236" s="7" t="str">
        <f t="shared" si="2"/>
        <v/>
      </c>
      <c r="H236" s="8"/>
    </row>
    <row r="237" spans="1:8" ht="12.75">
      <c r="A237" s="2">
        <v>234</v>
      </c>
      <c r="B237" s="7"/>
      <c r="C237" s="7"/>
      <c r="D237" s="7"/>
      <c r="E237" s="8"/>
      <c r="F237" s="8"/>
      <c r="G237" s="7" t="str">
        <f t="shared" si="2"/>
        <v/>
      </c>
      <c r="H237" s="8"/>
    </row>
    <row r="238" spans="1:8" ht="12.75">
      <c r="A238" s="2">
        <v>235</v>
      </c>
      <c r="B238" s="7"/>
      <c r="C238" s="7"/>
      <c r="D238" s="7"/>
      <c r="E238" s="8"/>
      <c r="F238" s="8"/>
      <c r="G238" s="7" t="str">
        <f t="shared" si="2"/>
        <v/>
      </c>
      <c r="H238" s="8"/>
    </row>
    <row r="239" spans="1:8" ht="12.75">
      <c r="A239" s="2">
        <v>236</v>
      </c>
      <c r="B239" s="7"/>
      <c r="C239" s="7"/>
      <c r="D239" s="7"/>
      <c r="E239" s="8"/>
      <c r="F239" s="8"/>
      <c r="G239" s="7" t="str">
        <f t="shared" si="2"/>
        <v/>
      </c>
      <c r="H239" s="8"/>
    </row>
    <row r="240" spans="1:8" ht="12.75">
      <c r="A240" s="2">
        <v>237</v>
      </c>
      <c r="B240" s="7"/>
      <c r="C240" s="7"/>
      <c r="D240" s="7"/>
      <c r="E240" s="8"/>
      <c r="F240" s="8"/>
      <c r="G240" s="7" t="str">
        <f t="shared" si="2"/>
        <v/>
      </c>
      <c r="H240" s="8"/>
    </row>
    <row r="241" spans="1:8" ht="12.75">
      <c r="A241" s="2">
        <v>238</v>
      </c>
      <c r="B241" s="7"/>
      <c r="C241" s="7"/>
      <c r="D241" s="7"/>
      <c r="E241" s="8"/>
      <c r="F241" s="8"/>
      <c r="G241" s="7" t="str">
        <f t="shared" si="2"/>
        <v/>
      </c>
      <c r="H241" s="8"/>
    </row>
    <row r="242" spans="1:8" ht="12.75">
      <c r="A242" s="2">
        <v>239</v>
      </c>
      <c r="B242" s="7"/>
      <c r="C242" s="7"/>
      <c r="D242" s="7"/>
      <c r="E242" s="8"/>
      <c r="F242" s="8"/>
      <c r="G242" s="7" t="str">
        <f t="shared" si="2"/>
        <v/>
      </c>
      <c r="H242" s="8"/>
    </row>
    <row r="243" spans="1:8" ht="12.75">
      <c r="A243" s="2">
        <v>240</v>
      </c>
      <c r="B243" s="7"/>
      <c r="C243" s="7"/>
      <c r="D243" s="7"/>
      <c r="E243" s="8"/>
      <c r="F243" s="8"/>
      <c r="G243" s="7" t="str">
        <f t="shared" si="2"/>
        <v/>
      </c>
      <c r="H243" s="8"/>
    </row>
    <row r="244" spans="1:8" ht="12.75">
      <c r="A244" s="2">
        <v>241</v>
      </c>
      <c r="B244" s="7"/>
      <c r="C244" s="7"/>
      <c r="D244" s="7"/>
      <c r="E244" s="8"/>
      <c r="F244" s="8"/>
      <c r="G244" s="7" t="str">
        <f t="shared" si="2"/>
        <v/>
      </c>
      <c r="H244" s="8"/>
    </row>
    <row r="245" spans="1:8" ht="12.75">
      <c r="A245" s="2">
        <v>242</v>
      </c>
      <c r="B245" s="7"/>
      <c r="C245" s="7"/>
      <c r="D245" s="7"/>
      <c r="E245" s="8"/>
      <c r="F245" s="8"/>
      <c r="G245" s="7" t="str">
        <f t="shared" si="2"/>
        <v/>
      </c>
      <c r="H245" s="8"/>
    </row>
    <row r="246" spans="1:8" ht="12.75">
      <c r="A246" s="2">
        <v>243</v>
      </c>
      <c r="B246" s="7"/>
      <c r="C246" s="7"/>
      <c r="D246" s="7"/>
      <c r="E246" s="8"/>
      <c r="F246" s="8"/>
      <c r="G246" s="7" t="str">
        <f t="shared" si="2"/>
        <v/>
      </c>
      <c r="H246" s="8"/>
    </row>
    <row r="247" spans="1:8" ht="12.75">
      <c r="A247" s="2">
        <v>244</v>
      </c>
      <c r="B247" s="7"/>
      <c r="C247" s="7"/>
      <c r="D247" s="7"/>
      <c r="E247" s="8"/>
      <c r="F247" s="8"/>
      <c r="G247" s="7" t="str">
        <f t="shared" si="2"/>
        <v/>
      </c>
      <c r="H247" s="8"/>
    </row>
    <row r="248" spans="1:8" ht="12.75">
      <c r="A248" s="2">
        <v>245</v>
      </c>
      <c r="B248" s="7"/>
      <c r="C248" s="7"/>
      <c r="D248" s="7"/>
      <c r="E248" s="8"/>
      <c r="F248" s="8"/>
      <c r="G248" s="7" t="str">
        <f t="shared" si="2"/>
        <v/>
      </c>
      <c r="H248" s="8"/>
    </row>
    <row r="249" spans="1:8" ht="12.75">
      <c r="A249" s="2">
        <v>246</v>
      </c>
      <c r="B249" s="7"/>
      <c r="C249" s="7"/>
      <c r="D249" s="7"/>
      <c r="E249" s="8"/>
      <c r="F249" s="8"/>
      <c r="G249" s="7" t="str">
        <f t="shared" si="2"/>
        <v/>
      </c>
      <c r="H249" s="8"/>
    </row>
    <row r="250" spans="1:8" ht="12.75">
      <c r="A250" s="2">
        <v>247</v>
      </c>
      <c r="B250" s="7"/>
      <c r="C250" s="7"/>
      <c r="D250" s="7"/>
      <c r="E250" s="8"/>
      <c r="F250" s="8"/>
      <c r="G250" s="7" t="str">
        <f t="shared" si="2"/>
        <v/>
      </c>
      <c r="H250" s="8"/>
    </row>
    <row r="251" spans="1:8" ht="12.75">
      <c r="A251" s="2">
        <v>248</v>
      </c>
      <c r="B251" s="7"/>
      <c r="C251" s="7"/>
      <c r="D251" s="7"/>
      <c r="E251" s="8"/>
      <c r="F251" s="8"/>
      <c r="G251" s="7" t="str">
        <f t="shared" si="2"/>
        <v/>
      </c>
      <c r="H251" s="8"/>
    </row>
    <row r="252" spans="1:8" ht="12.75">
      <c r="A252" s="2">
        <v>249</v>
      </c>
      <c r="B252" s="7"/>
      <c r="C252" s="7"/>
      <c r="D252" s="7"/>
      <c r="E252" s="8"/>
      <c r="F252" s="8"/>
      <c r="G252" s="7" t="str">
        <f t="shared" si="2"/>
        <v/>
      </c>
      <c r="H252" s="8"/>
    </row>
    <row r="253" spans="1:8" ht="12.75">
      <c r="A253" s="2">
        <v>250</v>
      </c>
      <c r="B253" s="7"/>
      <c r="C253" s="7"/>
      <c r="D253" s="7"/>
      <c r="E253" s="8"/>
      <c r="F253" s="8"/>
      <c r="G253" s="7" t="str">
        <f t="shared" si="2"/>
        <v/>
      </c>
      <c r="H253" s="8"/>
    </row>
    <row r="254" spans="1:8" ht="12.75">
      <c r="A254" s="2">
        <v>251</v>
      </c>
      <c r="B254" s="7"/>
      <c r="C254" s="7"/>
      <c r="D254" s="7"/>
      <c r="E254" s="8"/>
      <c r="F254" s="8"/>
      <c r="G254" s="7" t="str">
        <f t="shared" si="2"/>
        <v/>
      </c>
      <c r="H254" s="8"/>
    </row>
    <row r="255" spans="1:8" ht="12.75">
      <c r="A255" s="2">
        <v>252</v>
      </c>
      <c r="B255" s="7"/>
      <c r="C255" s="7"/>
      <c r="D255" s="7"/>
      <c r="E255" s="8"/>
      <c r="F255" s="8"/>
      <c r="G255" s="7" t="str">
        <f t="shared" si="2"/>
        <v/>
      </c>
      <c r="H255" s="8"/>
    </row>
    <row r="256" spans="1:8" ht="12.75">
      <c r="A256" s="2">
        <v>253</v>
      </c>
      <c r="B256" s="7"/>
      <c r="C256" s="7"/>
      <c r="D256" s="7"/>
      <c r="E256" s="8"/>
      <c r="F256" s="8"/>
      <c r="G256" s="7" t="str">
        <f t="shared" si="2"/>
        <v/>
      </c>
      <c r="H256" s="8"/>
    </row>
    <row r="257" spans="1:8" ht="12.75">
      <c r="A257" s="2">
        <v>254</v>
      </c>
      <c r="B257" s="7"/>
      <c r="C257" s="7"/>
      <c r="D257" s="7"/>
      <c r="E257" s="8"/>
      <c r="F257" s="8"/>
      <c r="G257" s="7" t="str">
        <f t="shared" si="2"/>
        <v/>
      </c>
      <c r="H257" s="8"/>
    </row>
    <row r="258" spans="1:8" ht="12.75">
      <c r="A258" s="2">
        <v>255</v>
      </c>
      <c r="B258" s="7"/>
      <c r="C258" s="7"/>
      <c r="D258" s="7"/>
      <c r="E258" s="8"/>
      <c r="F258" s="8"/>
      <c r="G258" s="7" t="str">
        <f t="shared" si="2"/>
        <v/>
      </c>
      <c r="H258" s="8"/>
    </row>
    <row r="259" spans="1:8" ht="12.75">
      <c r="A259" s="2">
        <v>256</v>
      </c>
      <c r="B259" s="7"/>
      <c r="C259" s="7"/>
      <c r="D259" s="7"/>
      <c r="E259" s="8"/>
      <c r="F259" s="8"/>
      <c r="G259" s="7" t="str">
        <f t="shared" si="2"/>
        <v/>
      </c>
      <c r="H259" s="8"/>
    </row>
    <row r="260" spans="1:8" ht="12.75">
      <c r="A260" s="2">
        <v>257</v>
      </c>
      <c r="B260" s="7"/>
      <c r="C260" s="7"/>
      <c r="D260" s="7"/>
      <c r="E260" s="8"/>
      <c r="F260" s="8"/>
      <c r="G260" s="7" t="str">
        <f t="shared" si="2"/>
        <v/>
      </c>
      <c r="H260" s="8"/>
    </row>
    <row r="261" spans="1:8" ht="12.75">
      <c r="A261" s="2">
        <v>258</v>
      </c>
      <c r="B261" s="7"/>
      <c r="C261" s="7"/>
      <c r="D261" s="7"/>
      <c r="E261" s="8"/>
      <c r="F261" s="8"/>
      <c r="G261" s="7" t="str">
        <f t="shared" si="2"/>
        <v/>
      </c>
      <c r="H261" s="8"/>
    </row>
    <row r="262" spans="1:8" ht="12.75">
      <c r="A262" s="2">
        <v>259</v>
      </c>
      <c r="B262" s="7"/>
      <c r="C262" s="7"/>
      <c r="D262" s="7"/>
      <c r="E262" s="8"/>
      <c r="F262" s="8"/>
      <c r="G262" s="7" t="str">
        <f t="shared" si="2"/>
        <v/>
      </c>
      <c r="H262" s="8"/>
    </row>
    <row r="263" spans="1:8" ht="12.75">
      <c r="A263" s="2">
        <v>260</v>
      </c>
      <c r="B263" s="7"/>
      <c r="C263" s="7"/>
      <c r="D263" s="7"/>
      <c r="E263" s="8"/>
      <c r="F263" s="8"/>
      <c r="G263" s="7" t="str">
        <f t="shared" si="2"/>
        <v/>
      </c>
      <c r="H263" s="8"/>
    </row>
    <row r="264" spans="1:8" ht="12.75">
      <c r="A264" s="2">
        <v>261</v>
      </c>
      <c r="B264" s="7"/>
      <c r="C264" s="7"/>
      <c r="D264" s="7"/>
      <c r="E264" s="8"/>
      <c r="F264" s="8"/>
      <c r="G264" s="7" t="str">
        <f t="shared" si="2"/>
        <v/>
      </c>
      <c r="H264" s="8"/>
    </row>
    <row r="265" spans="1:8" ht="12.75">
      <c r="A265" s="2">
        <v>262</v>
      </c>
      <c r="B265" s="7"/>
      <c r="C265" s="7"/>
      <c r="D265" s="7"/>
      <c r="E265" s="8"/>
      <c r="F265" s="8"/>
      <c r="G265" s="7" t="str">
        <f t="shared" si="2"/>
        <v/>
      </c>
      <c r="H265" s="8"/>
    </row>
    <row r="266" spans="1:8" ht="12.75">
      <c r="A266" s="2">
        <v>263</v>
      </c>
      <c r="B266" s="7"/>
      <c r="C266" s="7"/>
      <c r="D266" s="7"/>
      <c r="E266" s="8"/>
      <c r="F266" s="8"/>
      <c r="G266" s="7" t="str">
        <f t="shared" si="2"/>
        <v/>
      </c>
      <c r="H266" s="8"/>
    </row>
    <row r="267" spans="1:8" ht="12.75">
      <c r="A267" s="2">
        <v>264</v>
      </c>
      <c r="B267" s="7"/>
      <c r="C267" s="7"/>
      <c r="D267" s="7"/>
      <c r="E267" s="8"/>
      <c r="F267" s="8"/>
      <c r="G267" s="7" t="str">
        <f t="shared" si="2"/>
        <v/>
      </c>
      <c r="H267" s="8"/>
    </row>
    <row r="268" spans="1:8" ht="12.75">
      <c r="A268" s="2">
        <v>265</v>
      </c>
      <c r="B268" s="7"/>
      <c r="C268" s="7"/>
      <c r="D268" s="7"/>
      <c r="E268" s="8"/>
      <c r="F268" s="8"/>
      <c r="G268" s="7" t="str">
        <f t="shared" si="2"/>
        <v/>
      </c>
      <c r="H268" s="8"/>
    </row>
    <row r="269" spans="1:8" ht="12.75">
      <c r="A269" s="2">
        <v>266</v>
      </c>
      <c r="B269" s="7"/>
      <c r="C269" s="7"/>
      <c r="D269" s="7"/>
      <c r="E269" s="8"/>
      <c r="F269" s="8"/>
      <c r="G269" s="7" t="str">
        <f t="shared" si="2"/>
        <v/>
      </c>
      <c r="H269" s="8"/>
    </row>
    <row r="270" spans="1:8" ht="12.75">
      <c r="A270" s="2">
        <v>267</v>
      </c>
      <c r="B270" s="7"/>
      <c r="C270" s="7"/>
      <c r="D270" s="7"/>
      <c r="E270" s="8"/>
      <c r="F270" s="8"/>
      <c r="G270" s="7" t="str">
        <f t="shared" si="2"/>
        <v/>
      </c>
      <c r="H270" s="8"/>
    </row>
    <row r="271" spans="1:8" ht="12.75">
      <c r="A271" s="2">
        <v>268</v>
      </c>
      <c r="B271" s="7"/>
      <c r="C271" s="7"/>
      <c r="D271" s="7"/>
      <c r="E271" s="8"/>
      <c r="F271" s="8"/>
      <c r="G271" s="7" t="str">
        <f t="shared" si="2"/>
        <v/>
      </c>
      <c r="H271" s="8"/>
    </row>
    <row r="272" spans="1:8" ht="12.75">
      <c r="A272" s="2">
        <v>269</v>
      </c>
      <c r="B272" s="7"/>
      <c r="C272" s="7"/>
      <c r="D272" s="7"/>
      <c r="E272" s="8"/>
      <c r="F272" s="8"/>
      <c r="G272" s="7" t="str">
        <f t="shared" si="2"/>
        <v/>
      </c>
      <c r="H272" s="8"/>
    </row>
    <row r="273" spans="1:8" ht="12.75">
      <c r="A273" s="2">
        <v>270</v>
      </c>
      <c r="B273" s="7"/>
      <c r="C273" s="7"/>
      <c r="D273" s="7"/>
      <c r="E273" s="8"/>
      <c r="F273" s="8"/>
      <c r="G273" s="7" t="str">
        <f t="shared" si="2"/>
        <v/>
      </c>
      <c r="H273" s="8"/>
    </row>
    <row r="274" spans="1:8" ht="12.75">
      <c r="A274" s="2">
        <v>271</v>
      </c>
      <c r="B274" s="7"/>
      <c r="C274" s="7"/>
      <c r="D274" s="7"/>
      <c r="E274" s="8"/>
      <c r="F274" s="8"/>
      <c r="G274" s="7" t="str">
        <f t="shared" si="2"/>
        <v/>
      </c>
      <c r="H274" s="8"/>
    </row>
    <row r="275" spans="1:8" ht="12.75">
      <c r="A275" s="2">
        <v>272</v>
      </c>
      <c r="B275" s="7"/>
      <c r="C275" s="7"/>
      <c r="D275" s="7"/>
      <c r="E275" s="8"/>
      <c r="F275" s="8"/>
      <c r="G275" s="7" t="str">
        <f t="shared" si="2"/>
        <v/>
      </c>
      <c r="H275" s="8"/>
    </row>
    <row r="276" spans="1:8" ht="12.75">
      <c r="A276" s="2">
        <v>273</v>
      </c>
      <c r="B276" s="7"/>
      <c r="C276" s="7"/>
      <c r="D276" s="7"/>
      <c r="E276" s="8"/>
      <c r="F276" s="8"/>
      <c r="G276" s="7" t="str">
        <f t="shared" si="2"/>
        <v/>
      </c>
      <c r="H276" s="8"/>
    </row>
    <row r="277" spans="1:8" ht="12.75">
      <c r="A277" s="2">
        <v>274</v>
      </c>
      <c r="B277" s="7"/>
      <c r="C277" s="7"/>
      <c r="D277" s="7"/>
      <c r="E277" s="8"/>
      <c r="F277" s="8"/>
      <c r="G277" s="7" t="str">
        <f t="shared" si="2"/>
        <v/>
      </c>
      <c r="H277" s="8"/>
    </row>
    <row r="278" spans="1:8" ht="12.75">
      <c r="A278" s="2">
        <v>275</v>
      </c>
      <c r="B278" s="7"/>
      <c r="C278" s="7"/>
      <c r="D278" s="7"/>
      <c r="E278" s="8"/>
      <c r="F278" s="8"/>
      <c r="G278" s="7" t="str">
        <f t="shared" si="2"/>
        <v/>
      </c>
      <c r="H278" s="8"/>
    </row>
    <row r="279" spans="1:8" ht="12.75">
      <c r="A279" s="2">
        <v>276</v>
      </c>
      <c r="B279" s="7"/>
      <c r="C279" s="7"/>
      <c r="D279" s="7"/>
      <c r="E279" s="8"/>
      <c r="F279" s="8"/>
      <c r="G279" s="7" t="str">
        <f t="shared" si="2"/>
        <v/>
      </c>
      <c r="H279" s="8"/>
    </row>
    <row r="280" spans="1:8" ht="12.75">
      <c r="A280" s="2">
        <v>277</v>
      </c>
      <c r="B280" s="7"/>
      <c r="C280" s="7"/>
      <c r="D280" s="7"/>
      <c r="E280" s="8"/>
      <c r="F280" s="8"/>
      <c r="G280" s="7" t="str">
        <f t="shared" si="2"/>
        <v/>
      </c>
      <c r="H280" s="8"/>
    </row>
    <row r="281" spans="1:8" ht="12.75">
      <c r="A281" s="2">
        <v>278</v>
      </c>
      <c r="B281" s="7"/>
      <c r="C281" s="7"/>
      <c r="D281" s="7"/>
      <c r="E281" s="8"/>
      <c r="F281" s="8"/>
      <c r="G281" s="7" t="str">
        <f t="shared" si="2"/>
        <v/>
      </c>
      <c r="H281" s="8"/>
    </row>
    <row r="282" spans="1:8" ht="12.75">
      <c r="A282" s="2">
        <v>279</v>
      </c>
      <c r="B282" s="7"/>
      <c r="C282" s="7"/>
      <c r="D282" s="7"/>
      <c r="E282" s="8"/>
      <c r="F282" s="8"/>
      <c r="G282" s="7" t="str">
        <f t="shared" si="2"/>
        <v/>
      </c>
      <c r="H282" s="8"/>
    </row>
    <row r="283" spans="1:8" ht="12.75">
      <c r="A283" s="2">
        <v>280</v>
      </c>
      <c r="B283" s="7"/>
      <c r="C283" s="7"/>
      <c r="D283" s="7"/>
      <c r="E283" s="8"/>
      <c r="F283" s="8"/>
      <c r="G283" s="7" t="str">
        <f t="shared" ref="G283:G503" si="3">IF(F283="","",F283&amp;"@r6-1.deped.gov.ph")</f>
        <v/>
      </c>
      <c r="H283" s="8"/>
    </row>
    <row r="284" spans="1:8" ht="12.75">
      <c r="A284" s="2">
        <v>281</v>
      </c>
      <c r="B284" s="7"/>
      <c r="C284" s="7"/>
      <c r="D284" s="7"/>
      <c r="E284" s="8"/>
      <c r="F284" s="8"/>
      <c r="G284" s="7" t="str">
        <f t="shared" si="3"/>
        <v/>
      </c>
      <c r="H284" s="8"/>
    </row>
    <row r="285" spans="1:8" ht="12.75">
      <c r="A285" s="2">
        <v>282</v>
      </c>
      <c r="B285" s="7"/>
      <c r="C285" s="7"/>
      <c r="D285" s="7"/>
      <c r="E285" s="8"/>
      <c r="F285" s="8"/>
      <c r="G285" s="7" t="str">
        <f t="shared" si="3"/>
        <v/>
      </c>
      <c r="H285" s="8"/>
    </row>
    <row r="286" spans="1:8" ht="12.75">
      <c r="A286" s="2">
        <v>283</v>
      </c>
      <c r="B286" s="7"/>
      <c r="C286" s="7"/>
      <c r="D286" s="7"/>
      <c r="E286" s="8"/>
      <c r="F286" s="8"/>
      <c r="G286" s="7" t="str">
        <f t="shared" si="3"/>
        <v/>
      </c>
      <c r="H286" s="8"/>
    </row>
    <row r="287" spans="1:8" ht="12.75">
      <c r="A287" s="2">
        <v>284</v>
      </c>
      <c r="B287" s="7"/>
      <c r="C287" s="7"/>
      <c r="D287" s="7"/>
      <c r="E287" s="8"/>
      <c r="F287" s="8"/>
      <c r="G287" s="7" t="str">
        <f t="shared" si="3"/>
        <v/>
      </c>
      <c r="H287" s="8"/>
    </row>
    <row r="288" spans="1:8" ht="12.75">
      <c r="A288" s="2">
        <v>285</v>
      </c>
      <c r="B288" s="7"/>
      <c r="C288" s="7"/>
      <c r="D288" s="7"/>
      <c r="E288" s="8"/>
      <c r="F288" s="8"/>
      <c r="G288" s="7" t="str">
        <f t="shared" si="3"/>
        <v/>
      </c>
      <c r="H288" s="8"/>
    </row>
    <row r="289" spans="1:8" ht="12.75">
      <c r="A289" s="2">
        <v>286</v>
      </c>
      <c r="B289" s="7"/>
      <c r="C289" s="7"/>
      <c r="D289" s="7"/>
      <c r="E289" s="8"/>
      <c r="F289" s="8"/>
      <c r="G289" s="7" t="str">
        <f t="shared" si="3"/>
        <v/>
      </c>
      <c r="H289" s="8"/>
    </row>
    <row r="290" spans="1:8" ht="12.75">
      <c r="A290" s="2">
        <v>287</v>
      </c>
      <c r="B290" s="7"/>
      <c r="C290" s="7"/>
      <c r="D290" s="7"/>
      <c r="E290" s="8"/>
      <c r="F290" s="8"/>
      <c r="G290" s="7" t="str">
        <f t="shared" si="3"/>
        <v/>
      </c>
      <c r="H290" s="8"/>
    </row>
    <row r="291" spans="1:8" ht="12.75">
      <c r="A291" s="2">
        <v>288</v>
      </c>
      <c r="B291" s="7"/>
      <c r="C291" s="7"/>
      <c r="D291" s="7"/>
      <c r="E291" s="8"/>
      <c r="F291" s="8"/>
      <c r="G291" s="7" t="str">
        <f t="shared" si="3"/>
        <v/>
      </c>
      <c r="H291" s="8"/>
    </row>
    <row r="292" spans="1:8" ht="12.75">
      <c r="A292" s="2">
        <v>289</v>
      </c>
      <c r="B292" s="7"/>
      <c r="C292" s="7"/>
      <c r="D292" s="7"/>
      <c r="E292" s="8"/>
      <c r="F292" s="8"/>
      <c r="G292" s="7" t="str">
        <f t="shared" si="3"/>
        <v/>
      </c>
      <c r="H292" s="8"/>
    </row>
    <row r="293" spans="1:8" ht="12.75">
      <c r="A293" s="2">
        <v>290</v>
      </c>
      <c r="B293" s="7"/>
      <c r="C293" s="7"/>
      <c r="D293" s="7"/>
      <c r="E293" s="8"/>
      <c r="F293" s="8"/>
      <c r="G293" s="7" t="str">
        <f t="shared" si="3"/>
        <v/>
      </c>
      <c r="H293" s="8"/>
    </row>
    <row r="294" spans="1:8" ht="12.75">
      <c r="A294" s="2">
        <v>291</v>
      </c>
      <c r="B294" s="7"/>
      <c r="C294" s="7"/>
      <c r="D294" s="7"/>
      <c r="E294" s="8"/>
      <c r="F294" s="8"/>
      <c r="G294" s="7" t="str">
        <f t="shared" si="3"/>
        <v/>
      </c>
      <c r="H294" s="8"/>
    </row>
    <row r="295" spans="1:8" ht="12.75">
      <c r="A295" s="2">
        <v>292</v>
      </c>
      <c r="B295" s="7"/>
      <c r="C295" s="7"/>
      <c r="D295" s="7"/>
      <c r="E295" s="8"/>
      <c r="F295" s="8"/>
      <c r="G295" s="7" t="str">
        <f t="shared" si="3"/>
        <v/>
      </c>
      <c r="H295" s="8"/>
    </row>
    <row r="296" spans="1:8" ht="12.75">
      <c r="A296" s="2">
        <v>293</v>
      </c>
      <c r="B296" s="7"/>
      <c r="C296" s="7"/>
      <c r="D296" s="7"/>
      <c r="E296" s="8"/>
      <c r="F296" s="8"/>
      <c r="G296" s="7" t="str">
        <f t="shared" si="3"/>
        <v/>
      </c>
      <c r="H296" s="8"/>
    </row>
    <row r="297" spans="1:8" ht="12.75">
      <c r="A297" s="2">
        <v>294</v>
      </c>
      <c r="B297" s="7"/>
      <c r="C297" s="7"/>
      <c r="D297" s="7"/>
      <c r="E297" s="8"/>
      <c r="F297" s="8"/>
      <c r="G297" s="7" t="str">
        <f t="shared" si="3"/>
        <v/>
      </c>
      <c r="H297" s="8"/>
    </row>
    <row r="298" spans="1:8" ht="12.75">
      <c r="A298" s="2">
        <v>295</v>
      </c>
      <c r="B298" s="7"/>
      <c r="C298" s="7"/>
      <c r="D298" s="7"/>
      <c r="E298" s="8"/>
      <c r="F298" s="8"/>
      <c r="G298" s="7" t="str">
        <f t="shared" si="3"/>
        <v/>
      </c>
      <c r="H298" s="8"/>
    </row>
    <row r="299" spans="1:8" ht="12.75">
      <c r="A299" s="2">
        <v>296</v>
      </c>
      <c r="B299" s="7"/>
      <c r="C299" s="7"/>
      <c r="D299" s="7"/>
      <c r="E299" s="8"/>
      <c r="F299" s="8"/>
      <c r="G299" s="7" t="str">
        <f t="shared" si="3"/>
        <v/>
      </c>
      <c r="H299" s="8"/>
    </row>
    <row r="300" spans="1:8" ht="12.75">
      <c r="A300" s="2">
        <v>297</v>
      </c>
      <c r="B300" s="7"/>
      <c r="C300" s="7"/>
      <c r="D300" s="7"/>
      <c r="E300" s="8"/>
      <c r="F300" s="8"/>
      <c r="G300" s="7" t="str">
        <f t="shared" si="3"/>
        <v/>
      </c>
      <c r="H300" s="8"/>
    </row>
    <row r="301" spans="1:8" ht="12.75">
      <c r="A301" s="2">
        <v>298</v>
      </c>
      <c r="B301" s="7"/>
      <c r="C301" s="7"/>
      <c r="D301" s="7"/>
      <c r="E301" s="8"/>
      <c r="F301" s="8"/>
      <c r="G301" s="7" t="str">
        <f t="shared" si="3"/>
        <v/>
      </c>
      <c r="H301" s="8"/>
    </row>
    <row r="302" spans="1:8" ht="12.75">
      <c r="A302" s="2">
        <v>299</v>
      </c>
      <c r="B302" s="7"/>
      <c r="C302" s="7"/>
      <c r="D302" s="7"/>
      <c r="E302" s="8"/>
      <c r="F302" s="8"/>
      <c r="G302" s="7" t="str">
        <f t="shared" si="3"/>
        <v/>
      </c>
      <c r="H302" s="8"/>
    </row>
    <row r="303" spans="1:8" ht="12.75">
      <c r="A303" s="2">
        <v>300</v>
      </c>
      <c r="B303" s="7"/>
      <c r="C303" s="7"/>
      <c r="D303" s="7"/>
      <c r="E303" s="8"/>
      <c r="F303" s="8"/>
      <c r="G303" s="7" t="str">
        <f t="shared" si="3"/>
        <v/>
      </c>
      <c r="H303" s="8"/>
    </row>
    <row r="304" spans="1:8" ht="12.75">
      <c r="A304" s="2">
        <v>301</v>
      </c>
      <c r="B304" s="7"/>
      <c r="C304" s="7"/>
      <c r="D304" s="7"/>
      <c r="E304" s="8"/>
      <c r="F304" s="8"/>
      <c r="G304" s="7" t="str">
        <f t="shared" si="3"/>
        <v/>
      </c>
      <c r="H304" s="8"/>
    </row>
    <row r="305" spans="1:8" ht="12.75">
      <c r="A305" s="2">
        <v>302</v>
      </c>
      <c r="B305" s="7"/>
      <c r="C305" s="7"/>
      <c r="D305" s="7"/>
      <c r="E305" s="8"/>
      <c r="F305" s="8"/>
      <c r="G305" s="7" t="str">
        <f t="shared" si="3"/>
        <v/>
      </c>
      <c r="H305" s="8"/>
    </row>
    <row r="306" spans="1:8" ht="12.75">
      <c r="A306" s="2">
        <v>303</v>
      </c>
      <c r="B306" s="7"/>
      <c r="C306" s="7"/>
      <c r="D306" s="7"/>
      <c r="E306" s="8"/>
      <c r="F306" s="8"/>
      <c r="G306" s="7" t="str">
        <f t="shared" si="3"/>
        <v/>
      </c>
      <c r="H306" s="8"/>
    </row>
    <row r="307" spans="1:8" ht="12.75">
      <c r="A307" s="2">
        <v>304</v>
      </c>
      <c r="B307" s="7"/>
      <c r="C307" s="7"/>
      <c r="D307" s="7"/>
      <c r="E307" s="8"/>
      <c r="F307" s="8"/>
      <c r="G307" s="7" t="str">
        <f t="shared" si="3"/>
        <v/>
      </c>
      <c r="H307" s="8"/>
    </row>
    <row r="308" spans="1:8" ht="12.75">
      <c r="A308" s="2">
        <v>305</v>
      </c>
      <c r="B308" s="7"/>
      <c r="C308" s="7"/>
      <c r="D308" s="7"/>
      <c r="E308" s="8"/>
      <c r="F308" s="8"/>
      <c r="G308" s="7" t="str">
        <f t="shared" si="3"/>
        <v/>
      </c>
      <c r="H308" s="8"/>
    </row>
    <row r="309" spans="1:8" ht="12.75">
      <c r="A309" s="2">
        <v>306</v>
      </c>
      <c r="B309" s="7"/>
      <c r="C309" s="7"/>
      <c r="D309" s="7"/>
      <c r="E309" s="8"/>
      <c r="F309" s="8"/>
      <c r="G309" s="7" t="str">
        <f t="shared" si="3"/>
        <v/>
      </c>
      <c r="H309" s="8"/>
    </row>
    <row r="310" spans="1:8" ht="12.75">
      <c r="A310" s="2">
        <v>307</v>
      </c>
      <c r="B310" s="7"/>
      <c r="C310" s="7"/>
      <c r="D310" s="7"/>
      <c r="E310" s="8"/>
      <c r="F310" s="8"/>
      <c r="G310" s="7" t="str">
        <f t="shared" si="3"/>
        <v/>
      </c>
      <c r="H310" s="8"/>
    </row>
    <row r="311" spans="1:8" ht="12.75">
      <c r="A311" s="2">
        <v>308</v>
      </c>
      <c r="B311" s="7"/>
      <c r="C311" s="7"/>
      <c r="D311" s="7"/>
      <c r="E311" s="8"/>
      <c r="F311" s="8"/>
      <c r="G311" s="7" t="str">
        <f t="shared" si="3"/>
        <v/>
      </c>
      <c r="H311" s="8"/>
    </row>
    <row r="312" spans="1:8" ht="12.75">
      <c r="A312" s="2">
        <v>309</v>
      </c>
      <c r="B312" s="7"/>
      <c r="C312" s="7"/>
      <c r="D312" s="7"/>
      <c r="E312" s="8"/>
      <c r="F312" s="8"/>
      <c r="G312" s="7" t="str">
        <f t="shared" si="3"/>
        <v/>
      </c>
      <c r="H312" s="8"/>
    </row>
    <row r="313" spans="1:8" ht="12.75">
      <c r="A313" s="2">
        <v>310</v>
      </c>
      <c r="B313" s="7"/>
      <c r="C313" s="7"/>
      <c r="D313" s="7"/>
      <c r="E313" s="8"/>
      <c r="F313" s="8"/>
      <c r="G313" s="7" t="str">
        <f t="shared" si="3"/>
        <v/>
      </c>
      <c r="H313" s="8"/>
    </row>
    <row r="314" spans="1:8" ht="12.75">
      <c r="A314" s="2">
        <v>311</v>
      </c>
      <c r="B314" s="7"/>
      <c r="C314" s="7"/>
      <c r="D314" s="7"/>
      <c r="E314" s="8"/>
      <c r="F314" s="8"/>
      <c r="G314" s="7" t="str">
        <f t="shared" si="3"/>
        <v/>
      </c>
      <c r="H314" s="8"/>
    </row>
    <row r="315" spans="1:8" ht="12.75">
      <c r="A315" s="2">
        <v>312</v>
      </c>
      <c r="B315" s="7"/>
      <c r="C315" s="7"/>
      <c r="D315" s="7"/>
      <c r="E315" s="8"/>
      <c r="F315" s="8"/>
      <c r="G315" s="7" t="str">
        <f t="shared" si="3"/>
        <v/>
      </c>
      <c r="H315" s="8"/>
    </row>
    <row r="316" spans="1:8" ht="12.75">
      <c r="A316" s="2">
        <v>313</v>
      </c>
      <c r="B316" s="7"/>
      <c r="C316" s="7"/>
      <c r="D316" s="7"/>
      <c r="E316" s="8"/>
      <c r="F316" s="8"/>
      <c r="G316" s="7" t="str">
        <f t="shared" si="3"/>
        <v/>
      </c>
      <c r="H316" s="8"/>
    </row>
    <row r="317" spans="1:8" ht="12.75">
      <c r="A317" s="2">
        <v>314</v>
      </c>
      <c r="B317" s="7"/>
      <c r="C317" s="7"/>
      <c r="D317" s="7"/>
      <c r="E317" s="8"/>
      <c r="F317" s="8"/>
      <c r="G317" s="7" t="str">
        <f t="shared" si="3"/>
        <v/>
      </c>
      <c r="H317" s="8"/>
    </row>
    <row r="318" spans="1:8" ht="12.75">
      <c r="A318" s="2">
        <v>315</v>
      </c>
      <c r="B318" s="7"/>
      <c r="C318" s="7"/>
      <c r="D318" s="7"/>
      <c r="E318" s="8"/>
      <c r="F318" s="8"/>
      <c r="G318" s="7" t="str">
        <f t="shared" si="3"/>
        <v/>
      </c>
      <c r="H318" s="8"/>
    </row>
    <row r="319" spans="1:8" ht="12.75">
      <c r="A319" s="2">
        <v>316</v>
      </c>
      <c r="B319" s="7"/>
      <c r="C319" s="7"/>
      <c r="D319" s="7"/>
      <c r="E319" s="8"/>
      <c r="F319" s="8"/>
      <c r="G319" s="7" t="str">
        <f t="shared" si="3"/>
        <v/>
      </c>
      <c r="H319" s="8"/>
    </row>
    <row r="320" spans="1:8" ht="12.75">
      <c r="A320" s="2">
        <v>317</v>
      </c>
      <c r="B320" s="7"/>
      <c r="C320" s="7"/>
      <c r="D320" s="7"/>
      <c r="E320" s="8"/>
      <c r="F320" s="8"/>
      <c r="G320" s="7" t="str">
        <f t="shared" si="3"/>
        <v/>
      </c>
      <c r="H320" s="8"/>
    </row>
    <row r="321" spans="1:8" ht="12.75">
      <c r="A321" s="2">
        <v>318</v>
      </c>
      <c r="B321" s="7"/>
      <c r="C321" s="7"/>
      <c r="D321" s="7"/>
      <c r="E321" s="8"/>
      <c r="F321" s="8"/>
      <c r="G321" s="7" t="str">
        <f t="shared" si="3"/>
        <v/>
      </c>
      <c r="H321" s="8"/>
    </row>
    <row r="322" spans="1:8" ht="12.75">
      <c r="A322" s="2">
        <v>319</v>
      </c>
      <c r="B322" s="7"/>
      <c r="C322" s="7"/>
      <c r="D322" s="7"/>
      <c r="E322" s="8"/>
      <c r="F322" s="8"/>
      <c r="G322" s="7" t="str">
        <f t="shared" si="3"/>
        <v/>
      </c>
      <c r="H322" s="8"/>
    </row>
    <row r="323" spans="1:8" ht="12.75">
      <c r="A323" s="2">
        <v>320</v>
      </c>
      <c r="B323" s="7"/>
      <c r="C323" s="7"/>
      <c r="D323" s="7"/>
      <c r="E323" s="8"/>
      <c r="F323" s="8"/>
      <c r="G323" s="7" t="str">
        <f t="shared" si="3"/>
        <v/>
      </c>
      <c r="H323" s="8"/>
    </row>
    <row r="324" spans="1:8" ht="12.75">
      <c r="A324" s="2">
        <v>321</v>
      </c>
      <c r="B324" s="7"/>
      <c r="C324" s="7"/>
      <c r="D324" s="7"/>
      <c r="E324" s="8"/>
      <c r="F324" s="8"/>
      <c r="G324" s="7" t="str">
        <f t="shared" si="3"/>
        <v/>
      </c>
      <c r="H324" s="8"/>
    </row>
    <row r="325" spans="1:8" ht="12.75">
      <c r="A325" s="2">
        <v>322</v>
      </c>
      <c r="B325" s="7"/>
      <c r="C325" s="7"/>
      <c r="D325" s="7"/>
      <c r="E325" s="8"/>
      <c r="F325" s="8"/>
      <c r="G325" s="7" t="str">
        <f t="shared" si="3"/>
        <v/>
      </c>
      <c r="H325" s="8"/>
    </row>
    <row r="326" spans="1:8" ht="12.75">
      <c r="A326" s="2">
        <v>323</v>
      </c>
      <c r="B326" s="7"/>
      <c r="C326" s="7"/>
      <c r="D326" s="7"/>
      <c r="E326" s="8"/>
      <c r="F326" s="8"/>
      <c r="G326" s="7" t="str">
        <f t="shared" si="3"/>
        <v/>
      </c>
      <c r="H326" s="8"/>
    </row>
    <row r="327" spans="1:8" ht="12.75">
      <c r="A327" s="2">
        <v>324</v>
      </c>
      <c r="B327" s="7"/>
      <c r="C327" s="7"/>
      <c r="D327" s="7"/>
      <c r="E327" s="8"/>
      <c r="F327" s="8"/>
      <c r="G327" s="7" t="str">
        <f t="shared" si="3"/>
        <v/>
      </c>
      <c r="H327" s="8"/>
    </row>
    <row r="328" spans="1:8" ht="12.75">
      <c r="A328" s="2">
        <v>325</v>
      </c>
      <c r="B328" s="7"/>
      <c r="C328" s="7"/>
      <c r="D328" s="7"/>
      <c r="E328" s="8"/>
      <c r="F328" s="8"/>
      <c r="G328" s="7" t="str">
        <f t="shared" si="3"/>
        <v/>
      </c>
      <c r="H328" s="8"/>
    </row>
    <row r="329" spans="1:8" ht="12.75">
      <c r="A329" s="2">
        <v>326</v>
      </c>
      <c r="B329" s="7"/>
      <c r="C329" s="7"/>
      <c r="D329" s="7"/>
      <c r="E329" s="8"/>
      <c r="F329" s="8"/>
      <c r="G329" s="7" t="str">
        <f t="shared" si="3"/>
        <v/>
      </c>
      <c r="H329" s="8"/>
    </row>
    <row r="330" spans="1:8" ht="12.75">
      <c r="A330" s="2">
        <v>327</v>
      </c>
      <c r="B330" s="7"/>
      <c r="C330" s="7"/>
      <c r="D330" s="7"/>
      <c r="E330" s="8"/>
      <c r="F330" s="8"/>
      <c r="G330" s="7" t="str">
        <f t="shared" si="3"/>
        <v/>
      </c>
      <c r="H330" s="8"/>
    </row>
    <row r="331" spans="1:8" ht="12.75">
      <c r="A331" s="2">
        <v>328</v>
      </c>
      <c r="B331" s="7"/>
      <c r="C331" s="7"/>
      <c r="D331" s="7"/>
      <c r="E331" s="8"/>
      <c r="F331" s="8"/>
      <c r="G331" s="7" t="str">
        <f t="shared" si="3"/>
        <v/>
      </c>
      <c r="H331" s="8"/>
    </row>
    <row r="332" spans="1:8" ht="12.75">
      <c r="A332" s="2">
        <v>329</v>
      </c>
      <c r="B332" s="7"/>
      <c r="C332" s="7"/>
      <c r="D332" s="7"/>
      <c r="E332" s="8"/>
      <c r="F332" s="8"/>
      <c r="G332" s="7" t="str">
        <f t="shared" si="3"/>
        <v/>
      </c>
      <c r="H332" s="8"/>
    </row>
    <row r="333" spans="1:8" ht="12.75">
      <c r="A333" s="2">
        <v>330</v>
      </c>
      <c r="B333" s="7"/>
      <c r="C333" s="7"/>
      <c r="D333" s="7"/>
      <c r="E333" s="8"/>
      <c r="F333" s="8"/>
      <c r="G333" s="7" t="str">
        <f t="shared" si="3"/>
        <v/>
      </c>
      <c r="H333" s="8"/>
    </row>
    <row r="334" spans="1:8" ht="12.75">
      <c r="A334" s="2">
        <v>331</v>
      </c>
      <c r="B334" s="7"/>
      <c r="C334" s="7"/>
      <c r="D334" s="7"/>
      <c r="E334" s="8"/>
      <c r="F334" s="8"/>
      <c r="G334" s="7" t="str">
        <f t="shared" si="3"/>
        <v/>
      </c>
      <c r="H334" s="8"/>
    </row>
    <row r="335" spans="1:8" ht="12.75">
      <c r="A335" s="2">
        <v>332</v>
      </c>
      <c r="B335" s="7"/>
      <c r="C335" s="7"/>
      <c r="D335" s="7"/>
      <c r="E335" s="8"/>
      <c r="F335" s="8"/>
      <c r="G335" s="7" t="str">
        <f t="shared" si="3"/>
        <v/>
      </c>
      <c r="H335" s="8"/>
    </row>
    <row r="336" spans="1:8" ht="12.75">
      <c r="A336" s="2">
        <v>333</v>
      </c>
      <c r="B336" s="7"/>
      <c r="C336" s="7"/>
      <c r="D336" s="7"/>
      <c r="E336" s="8"/>
      <c r="F336" s="8"/>
      <c r="G336" s="7" t="str">
        <f t="shared" si="3"/>
        <v/>
      </c>
      <c r="H336" s="8"/>
    </row>
    <row r="337" spans="1:8" ht="12.75">
      <c r="A337" s="2">
        <v>334</v>
      </c>
      <c r="B337" s="7"/>
      <c r="C337" s="7"/>
      <c r="D337" s="7"/>
      <c r="E337" s="8"/>
      <c r="F337" s="8"/>
      <c r="G337" s="7" t="str">
        <f t="shared" si="3"/>
        <v/>
      </c>
      <c r="H337" s="8"/>
    </row>
    <row r="338" spans="1:8" ht="12.75">
      <c r="A338" s="2">
        <v>335</v>
      </c>
      <c r="B338" s="7"/>
      <c r="C338" s="7"/>
      <c r="D338" s="7"/>
      <c r="E338" s="8"/>
      <c r="F338" s="8"/>
      <c r="G338" s="7" t="str">
        <f t="shared" si="3"/>
        <v/>
      </c>
      <c r="H338" s="8"/>
    </row>
    <row r="339" spans="1:8" ht="12.75">
      <c r="A339" s="2">
        <v>336</v>
      </c>
      <c r="B339" s="7"/>
      <c r="C339" s="7"/>
      <c r="D339" s="7"/>
      <c r="E339" s="8"/>
      <c r="F339" s="8"/>
      <c r="G339" s="7" t="str">
        <f t="shared" si="3"/>
        <v/>
      </c>
      <c r="H339" s="8"/>
    </row>
    <row r="340" spans="1:8" ht="12.75">
      <c r="A340" s="2">
        <v>337</v>
      </c>
      <c r="B340" s="7"/>
      <c r="C340" s="7"/>
      <c r="D340" s="7"/>
      <c r="E340" s="8"/>
      <c r="F340" s="8"/>
      <c r="G340" s="7" t="str">
        <f t="shared" si="3"/>
        <v/>
      </c>
      <c r="H340" s="8"/>
    </row>
    <row r="341" spans="1:8" ht="12.75">
      <c r="A341" s="2">
        <v>338</v>
      </c>
      <c r="B341" s="7"/>
      <c r="C341" s="7"/>
      <c r="D341" s="7"/>
      <c r="E341" s="8"/>
      <c r="F341" s="8"/>
      <c r="G341" s="7" t="str">
        <f t="shared" si="3"/>
        <v/>
      </c>
      <c r="H341" s="8"/>
    </row>
    <row r="342" spans="1:8" ht="12.75">
      <c r="A342" s="2">
        <v>339</v>
      </c>
      <c r="B342" s="7"/>
      <c r="C342" s="7"/>
      <c r="D342" s="7"/>
      <c r="E342" s="8"/>
      <c r="F342" s="8"/>
      <c r="G342" s="7" t="str">
        <f t="shared" si="3"/>
        <v/>
      </c>
      <c r="H342" s="8"/>
    </row>
    <row r="343" spans="1:8" ht="12.75">
      <c r="A343" s="2">
        <v>340</v>
      </c>
      <c r="B343" s="7"/>
      <c r="C343" s="7"/>
      <c r="D343" s="7"/>
      <c r="E343" s="8"/>
      <c r="F343" s="8"/>
      <c r="G343" s="7" t="str">
        <f t="shared" si="3"/>
        <v/>
      </c>
      <c r="H343" s="8"/>
    </row>
    <row r="344" spans="1:8" ht="12.75">
      <c r="A344" s="2">
        <v>341</v>
      </c>
      <c r="B344" s="7"/>
      <c r="C344" s="7"/>
      <c r="D344" s="7"/>
      <c r="E344" s="8"/>
      <c r="F344" s="8"/>
      <c r="G344" s="7" t="str">
        <f t="shared" si="3"/>
        <v/>
      </c>
      <c r="H344" s="8"/>
    </row>
    <row r="345" spans="1:8" ht="12.75">
      <c r="A345" s="2">
        <v>342</v>
      </c>
      <c r="B345" s="7"/>
      <c r="C345" s="7"/>
      <c r="D345" s="7"/>
      <c r="E345" s="8"/>
      <c r="F345" s="8"/>
      <c r="G345" s="7" t="str">
        <f t="shared" si="3"/>
        <v/>
      </c>
      <c r="H345" s="8"/>
    </row>
    <row r="346" spans="1:8" ht="12.75">
      <c r="A346" s="2">
        <v>343</v>
      </c>
      <c r="B346" s="7"/>
      <c r="C346" s="7"/>
      <c r="D346" s="7"/>
      <c r="E346" s="8"/>
      <c r="F346" s="8"/>
      <c r="G346" s="7" t="str">
        <f t="shared" si="3"/>
        <v/>
      </c>
      <c r="H346" s="8"/>
    </row>
    <row r="347" spans="1:8" ht="12.75">
      <c r="A347" s="2">
        <v>344</v>
      </c>
      <c r="B347" s="7"/>
      <c r="C347" s="7"/>
      <c r="D347" s="7"/>
      <c r="E347" s="8"/>
      <c r="F347" s="8"/>
      <c r="G347" s="7" t="str">
        <f t="shared" si="3"/>
        <v/>
      </c>
      <c r="H347" s="8"/>
    </row>
    <row r="348" spans="1:8" ht="12.75">
      <c r="A348" s="2">
        <v>345</v>
      </c>
      <c r="B348" s="7"/>
      <c r="C348" s="7"/>
      <c r="D348" s="7"/>
      <c r="E348" s="8"/>
      <c r="F348" s="8"/>
      <c r="G348" s="7" t="str">
        <f t="shared" si="3"/>
        <v/>
      </c>
      <c r="H348" s="8"/>
    </row>
    <row r="349" spans="1:8" ht="12.75">
      <c r="A349" s="2">
        <v>346</v>
      </c>
      <c r="B349" s="7"/>
      <c r="C349" s="7"/>
      <c r="D349" s="7"/>
      <c r="E349" s="8"/>
      <c r="F349" s="8"/>
      <c r="G349" s="7" t="str">
        <f t="shared" si="3"/>
        <v/>
      </c>
      <c r="H349" s="8"/>
    </row>
    <row r="350" spans="1:8" ht="12.75">
      <c r="A350" s="2">
        <v>347</v>
      </c>
      <c r="B350" s="7"/>
      <c r="C350" s="7"/>
      <c r="D350" s="7"/>
      <c r="E350" s="8"/>
      <c r="F350" s="8"/>
      <c r="G350" s="7" t="str">
        <f t="shared" si="3"/>
        <v/>
      </c>
      <c r="H350" s="8"/>
    </row>
    <row r="351" spans="1:8" ht="12.75">
      <c r="A351" s="2">
        <v>348</v>
      </c>
      <c r="B351" s="7"/>
      <c r="C351" s="7"/>
      <c r="D351" s="7"/>
      <c r="E351" s="8"/>
      <c r="F351" s="8"/>
      <c r="G351" s="7" t="str">
        <f t="shared" si="3"/>
        <v/>
      </c>
      <c r="H351" s="8"/>
    </row>
    <row r="352" spans="1:8" ht="12.75">
      <c r="A352" s="2">
        <v>349</v>
      </c>
      <c r="B352" s="7"/>
      <c r="C352" s="7"/>
      <c r="D352" s="7"/>
      <c r="E352" s="8"/>
      <c r="F352" s="8"/>
      <c r="G352" s="7" t="str">
        <f t="shared" si="3"/>
        <v/>
      </c>
      <c r="H352" s="8"/>
    </row>
    <row r="353" spans="1:8" ht="12.75">
      <c r="A353" s="2">
        <v>350</v>
      </c>
      <c r="B353" s="7"/>
      <c r="C353" s="7"/>
      <c r="D353" s="7"/>
      <c r="E353" s="8"/>
      <c r="F353" s="8"/>
      <c r="G353" s="7" t="str">
        <f t="shared" si="3"/>
        <v/>
      </c>
      <c r="H353" s="8"/>
    </row>
    <row r="354" spans="1:8" ht="12.75">
      <c r="A354" s="2">
        <v>351</v>
      </c>
      <c r="B354" s="7"/>
      <c r="C354" s="7"/>
      <c r="D354" s="7"/>
      <c r="E354" s="8"/>
      <c r="F354" s="8"/>
      <c r="G354" s="7" t="str">
        <f t="shared" si="3"/>
        <v/>
      </c>
      <c r="H354" s="8"/>
    </row>
    <row r="355" spans="1:8" ht="12.75">
      <c r="A355" s="2">
        <v>352</v>
      </c>
      <c r="B355" s="7"/>
      <c r="C355" s="7"/>
      <c r="D355" s="7"/>
      <c r="E355" s="8"/>
      <c r="F355" s="8"/>
      <c r="G355" s="7" t="str">
        <f t="shared" si="3"/>
        <v/>
      </c>
      <c r="H355" s="8"/>
    </row>
    <row r="356" spans="1:8" ht="12.75">
      <c r="A356" s="2">
        <v>353</v>
      </c>
      <c r="B356" s="7"/>
      <c r="C356" s="7"/>
      <c r="D356" s="7"/>
      <c r="E356" s="8"/>
      <c r="F356" s="8"/>
      <c r="G356" s="7" t="str">
        <f t="shared" si="3"/>
        <v/>
      </c>
      <c r="H356" s="8"/>
    </row>
    <row r="357" spans="1:8" ht="12.75">
      <c r="A357" s="2">
        <v>354</v>
      </c>
      <c r="B357" s="7"/>
      <c r="C357" s="7"/>
      <c r="D357" s="7"/>
      <c r="E357" s="8"/>
      <c r="F357" s="8"/>
      <c r="G357" s="7" t="str">
        <f t="shared" si="3"/>
        <v/>
      </c>
      <c r="H357" s="8"/>
    </row>
    <row r="358" spans="1:8" ht="12.75">
      <c r="A358" s="2">
        <v>355</v>
      </c>
      <c r="B358" s="7"/>
      <c r="C358" s="7"/>
      <c r="D358" s="7"/>
      <c r="E358" s="8"/>
      <c r="F358" s="8"/>
      <c r="G358" s="7" t="str">
        <f t="shared" si="3"/>
        <v/>
      </c>
      <c r="H358" s="8"/>
    </row>
    <row r="359" spans="1:8" ht="12.75">
      <c r="A359" s="2">
        <v>356</v>
      </c>
      <c r="B359" s="7"/>
      <c r="C359" s="7"/>
      <c r="D359" s="7"/>
      <c r="E359" s="8"/>
      <c r="F359" s="8"/>
      <c r="G359" s="7" t="str">
        <f t="shared" si="3"/>
        <v/>
      </c>
      <c r="H359" s="8"/>
    </row>
    <row r="360" spans="1:8" ht="12.75">
      <c r="A360" s="2">
        <v>357</v>
      </c>
      <c r="B360" s="7"/>
      <c r="C360" s="7"/>
      <c r="D360" s="7"/>
      <c r="E360" s="8"/>
      <c r="F360" s="8"/>
      <c r="G360" s="7" t="str">
        <f t="shared" si="3"/>
        <v/>
      </c>
      <c r="H360" s="8"/>
    </row>
    <row r="361" spans="1:8" ht="12.75">
      <c r="A361" s="2">
        <v>358</v>
      </c>
      <c r="B361" s="7"/>
      <c r="C361" s="7"/>
      <c r="D361" s="7"/>
      <c r="E361" s="8"/>
      <c r="F361" s="8"/>
      <c r="G361" s="7" t="str">
        <f t="shared" si="3"/>
        <v/>
      </c>
      <c r="H361" s="8"/>
    </row>
    <row r="362" spans="1:8" ht="12.75">
      <c r="A362" s="2">
        <v>359</v>
      </c>
      <c r="B362" s="7"/>
      <c r="C362" s="7"/>
      <c r="D362" s="7"/>
      <c r="E362" s="8"/>
      <c r="F362" s="8"/>
      <c r="G362" s="7" t="str">
        <f t="shared" si="3"/>
        <v/>
      </c>
      <c r="H362" s="8"/>
    </row>
    <row r="363" spans="1:8" ht="12.75">
      <c r="A363" s="2">
        <v>360</v>
      </c>
      <c r="B363" s="7"/>
      <c r="C363" s="7"/>
      <c r="D363" s="7"/>
      <c r="E363" s="8"/>
      <c r="F363" s="8"/>
      <c r="G363" s="7" t="str">
        <f t="shared" si="3"/>
        <v/>
      </c>
      <c r="H363" s="8"/>
    </row>
    <row r="364" spans="1:8" ht="12.75">
      <c r="A364" s="2">
        <v>361</v>
      </c>
      <c r="B364" s="7"/>
      <c r="C364" s="7"/>
      <c r="D364" s="7"/>
      <c r="E364" s="8"/>
      <c r="F364" s="8"/>
      <c r="G364" s="7" t="str">
        <f t="shared" si="3"/>
        <v/>
      </c>
      <c r="H364" s="8"/>
    </row>
    <row r="365" spans="1:8" ht="12.75">
      <c r="A365" s="2">
        <v>362</v>
      </c>
      <c r="B365" s="7"/>
      <c r="C365" s="7"/>
      <c r="D365" s="7"/>
      <c r="E365" s="8"/>
      <c r="F365" s="8"/>
      <c r="G365" s="7" t="str">
        <f t="shared" si="3"/>
        <v/>
      </c>
      <c r="H365" s="8"/>
    </row>
    <row r="366" spans="1:8" ht="12.75">
      <c r="A366" s="2">
        <v>363</v>
      </c>
      <c r="B366" s="7"/>
      <c r="C366" s="7"/>
      <c r="D366" s="7"/>
      <c r="E366" s="8"/>
      <c r="F366" s="8"/>
      <c r="G366" s="7" t="str">
        <f t="shared" si="3"/>
        <v/>
      </c>
      <c r="H366" s="8"/>
    </row>
    <row r="367" spans="1:8" ht="12.75">
      <c r="A367" s="2">
        <v>364</v>
      </c>
      <c r="B367" s="7"/>
      <c r="C367" s="7"/>
      <c r="D367" s="7"/>
      <c r="E367" s="8"/>
      <c r="F367" s="8"/>
      <c r="G367" s="7" t="str">
        <f t="shared" si="3"/>
        <v/>
      </c>
      <c r="H367" s="8"/>
    </row>
    <row r="368" spans="1:8" ht="12.75">
      <c r="A368" s="2">
        <v>365</v>
      </c>
      <c r="B368" s="7"/>
      <c r="C368" s="7"/>
      <c r="D368" s="7"/>
      <c r="E368" s="8"/>
      <c r="F368" s="8"/>
      <c r="G368" s="7" t="str">
        <f t="shared" si="3"/>
        <v/>
      </c>
      <c r="H368" s="8"/>
    </row>
    <row r="369" spans="1:8" ht="12.75">
      <c r="A369" s="2">
        <v>366</v>
      </c>
      <c r="B369" s="7"/>
      <c r="C369" s="7"/>
      <c r="D369" s="7"/>
      <c r="E369" s="8"/>
      <c r="F369" s="8"/>
      <c r="G369" s="7" t="str">
        <f t="shared" si="3"/>
        <v/>
      </c>
      <c r="H369" s="8"/>
    </row>
    <row r="370" spans="1:8" ht="12.75">
      <c r="A370" s="2">
        <v>367</v>
      </c>
      <c r="B370" s="7"/>
      <c r="C370" s="7"/>
      <c r="D370" s="7"/>
      <c r="E370" s="8"/>
      <c r="F370" s="8"/>
      <c r="G370" s="7" t="str">
        <f t="shared" si="3"/>
        <v/>
      </c>
      <c r="H370" s="8"/>
    </row>
    <row r="371" spans="1:8" ht="12.75">
      <c r="A371" s="2">
        <v>368</v>
      </c>
      <c r="B371" s="7"/>
      <c r="C371" s="7"/>
      <c r="D371" s="7"/>
      <c r="E371" s="8"/>
      <c r="F371" s="8"/>
      <c r="G371" s="7" t="str">
        <f t="shared" si="3"/>
        <v/>
      </c>
      <c r="H371" s="8"/>
    </row>
    <row r="372" spans="1:8" ht="12.75">
      <c r="A372" s="2">
        <v>369</v>
      </c>
      <c r="B372" s="7"/>
      <c r="C372" s="7"/>
      <c r="D372" s="7"/>
      <c r="E372" s="8"/>
      <c r="F372" s="8"/>
      <c r="G372" s="7" t="str">
        <f t="shared" si="3"/>
        <v/>
      </c>
      <c r="H372" s="8"/>
    </row>
    <row r="373" spans="1:8" ht="12.75">
      <c r="A373" s="2">
        <v>370</v>
      </c>
      <c r="B373" s="7"/>
      <c r="C373" s="7"/>
      <c r="D373" s="7"/>
      <c r="E373" s="8"/>
      <c r="F373" s="8"/>
      <c r="G373" s="7" t="str">
        <f t="shared" si="3"/>
        <v/>
      </c>
      <c r="H373" s="8"/>
    </row>
    <row r="374" spans="1:8" ht="12.75">
      <c r="A374" s="2">
        <v>371</v>
      </c>
      <c r="B374" s="7"/>
      <c r="C374" s="7"/>
      <c r="D374" s="7"/>
      <c r="E374" s="8"/>
      <c r="F374" s="8"/>
      <c r="G374" s="7" t="str">
        <f t="shared" si="3"/>
        <v/>
      </c>
      <c r="H374" s="8"/>
    </row>
    <row r="375" spans="1:8" ht="12.75">
      <c r="A375" s="2">
        <v>372</v>
      </c>
      <c r="B375" s="7"/>
      <c r="C375" s="7"/>
      <c r="D375" s="7"/>
      <c r="E375" s="8"/>
      <c r="F375" s="8"/>
      <c r="G375" s="7" t="str">
        <f t="shared" si="3"/>
        <v/>
      </c>
      <c r="H375" s="8"/>
    </row>
    <row r="376" spans="1:8" ht="12.75">
      <c r="A376" s="2">
        <v>373</v>
      </c>
      <c r="B376" s="7"/>
      <c r="C376" s="7"/>
      <c r="D376" s="7"/>
      <c r="E376" s="8"/>
      <c r="F376" s="8"/>
      <c r="G376" s="7" t="str">
        <f t="shared" si="3"/>
        <v/>
      </c>
      <c r="H376" s="8"/>
    </row>
    <row r="377" spans="1:8" ht="12.75">
      <c r="A377" s="2">
        <v>374</v>
      </c>
      <c r="B377" s="7"/>
      <c r="C377" s="7"/>
      <c r="D377" s="7"/>
      <c r="E377" s="8"/>
      <c r="F377" s="8"/>
      <c r="G377" s="7" t="str">
        <f t="shared" si="3"/>
        <v/>
      </c>
      <c r="H377" s="8"/>
    </row>
    <row r="378" spans="1:8" ht="12.75">
      <c r="A378" s="2">
        <v>375</v>
      </c>
      <c r="B378" s="7"/>
      <c r="C378" s="7"/>
      <c r="D378" s="7"/>
      <c r="E378" s="8"/>
      <c r="F378" s="8"/>
      <c r="G378" s="7" t="str">
        <f t="shared" si="3"/>
        <v/>
      </c>
      <c r="H378" s="8"/>
    </row>
    <row r="379" spans="1:8" ht="12.75">
      <c r="A379" s="2">
        <v>376</v>
      </c>
      <c r="B379" s="7"/>
      <c r="C379" s="7"/>
      <c r="D379" s="7"/>
      <c r="E379" s="8"/>
      <c r="F379" s="8"/>
      <c r="G379" s="7" t="str">
        <f t="shared" si="3"/>
        <v/>
      </c>
      <c r="H379" s="8"/>
    </row>
    <row r="380" spans="1:8" ht="12.75">
      <c r="A380" s="2">
        <v>377</v>
      </c>
      <c r="B380" s="7"/>
      <c r="C380" s="7"/>
      <c r="D380" s="7"/>
      <c r="E380" s="8"/>
      <c r="F380" s="8"/>
      <c r="G380" s="7" t="str">
        <f t="shared" si="3"/>
        <v/>
      </c>
      <c r="H380" s="8"/>
    </row>
    <row r="381" spans="1:8" ht="12.75">
      <c r="A381" s="2">
        <v>378</v>
      </c>
      <c r="B381" s="7"/>
      <c r="C381" s="7"/>
      <c r="D381" s="7"/>
      <c r="E381" s="8"/>
      <c r="F381" s="8"/>
      <c r="G381" s="7" t="str">
        <f t="shared" si="3"/>
        <v/>
      </c>
      <c r="H381" s="8"/>
    </row>
    <row r="382" spans="1:8" ht="12.75">
      <c r="A382" s="2">
        <v>379</v>
      </c>
      <c r="B382" s="7"/>
      <c r="C382" s="7"/>
      <c r="D382" s="7"/>
      <c r="E382" s="8"/>
      <c r="F382" s="8"/>
      <c r="G382" s="7" t="str">
        <f t="shared" si="3"/>
        <v/>
      </c>
      <c r="H382" s="8"/>
    </row>
    <row r="383" spans="1:8" ht="12.75">
      <c r="A383" s="2">
        <v>380</v>
      </c>
      <c r="B383" s="7"/>
      <c r="C383" s="7"/>
      <c r="D383" s="7"/>
      <c r="E383" s="8"/>
      <c r="F383" s="8"/>
      <c r="G383" s="7" t="str">
        <f t="shared" si="3"/>
        <v/>
      </c>
      <c r="H383" s="8"/>
    </row>
    <row r="384" spans="1:8" ht="12.75">
      <c r="A384" s="2">
        <v>381</v>
      </c>
      <c r="B384" s="7"/>
      <c r="C384" s="7"/>
      <c r="D384" s="7"/>
      <c r="E384" s="8"/>
      <c r="F384" s="8"/>
      <c r="G384" s="7" t="str">
        <f t="shared" si="3"/>
        <v/>
      </c>
      <c r="H384" s="8"/>
    </row>
    <row r="385" spans="1:8" ht="12.75">
      <c r="A385" s="2">
        <v>382</v>
      </c>
      <c r="B385" s="7"/>
      <c r="C385" s="7"/>
      <c r="D385" s="7"/>
      <c r="E385" s="8"/>
      <c r="F385" s="8"/>
      <c r="G385" s="7" t="str">
        <f t="shared" si="3"/>
        <v/>
      </c>
      <c r="H385" s="8"/>
    </row>
    <row r="386" spans="1:8" ht="12.75">
      <c r="A386" s="2">
        <v>383</v>
      </c>
      <c r="B386" s="7"/>
      <c r="C386" s="7"/>
      <c r="D386" s="7"/>
      <c r="E386" s="8"/>
      <c r="F386" s="8"/>
      <c r="G386" s="7" t="str">
        <f t="shared" si="3"/>
        <v/>
      </c>
      <c r="H386" s="8"/>
    </row>
    <row r="387" spans="1:8" ht="12.75">
      <c r="A387" s="2">
        <v>384</v>
      </c>
      <c r="B387" s="7"/>
      <c r="C387" s="7"/>
      <c r="D387" s="7"/>
      <c r="E387" s="8"/>
      <c r="F387" s="8"/>
      <c r="G387" s="7" t="str">
        <f t="shared" si="3"/>
        <v/>
      </c>
      <c r="H387" s="8"/>
    </row>
    <row r="388" spans="1:8" ht="12.75">
      <c r="A388" s="2">
        <v>385</v>
      </c>
      <c r="B388" s="7"/>
      <c r="C388" s="7"/>
      <c r="D388" s="7"/>
      <c r="E388" s="8"/>
      <c r="F388" s="8"/>
      <c r="G388" s="7" t="str">
        <f t="shared" si="3"/>
        <v/>
      </c>
      <c r="H388" s="8"/>
    </row>
    <row r="389" spans="1:8" ht="12.75">
      <c r="A389" s="2">
        <v>386</v>
      </c>
      <c r="B389" s="7"/>
      <c r="C389" s="7"/>
      <c r="D389" s="7"/>
      <c r="E389" s="8"/>
      <c r="F389" s="8"/>
      <c r="G389" s="7" t="str">
        <f t="shared" si="3"/>
        <v/>
      </c>
      <c r="H389" s="8"/>
    </row>
    <row r="390" spans="1:8" ht="12.75">
      <c r="A390" s="2">
        <v>387</v>
      </c>
      <c r="B390" s="7"/>
      <c r="C390" s="7"/>
      <c r="D390" s="7"/>
      <c r="E390" s="8"/>
      <c r="F390" s="8"/>
      <c r="G390" s="7" t="str">
        <f t="shared" si="3"/>
        <v/>
      </c>
      <c r="H390" s="8"/>
    </row>
    <row r="391" spans="1:8" ht="12.75">
      <c r="A391" s="2">
        <v>388</v>
      </c>
      <c r="B391" s="7"/>
      <c r="C391" s="7"/>
      <c r="D391" s="7"/>
      <c r="E391" s="8"/>
      <c r="F391" s="8"/>
      <c r="G391" s="7" t="str">
        <f t="shared" si="3"/>
        <v/>
      </c>
      <c r="H391" s="8"/>
    </row>
    <row r="392" spans="1:8" ht="12.75">
      <c r="A392" s="2">
        <v>389</v>
      </c>
      <c r="B392" s="7"/>
      <c r="C392" s="7"/>
      <c r="D392" s="7"/>
      <c r="E392" s="8"/>
      <c r="F392" s="8"/>
      <c r="G392" s="7" t="str">
        <f t="shared" si="3"/>
        <v/>
      </c>
      <c r="H392" s="8"/>
    </row>
    <row r="393" spans="1:8" ht="12.75">
      <c r="A393" s="2">
        <v>390</v>
      </c>
      <c r="B393" s="7"/>
      <c r="C393" s="7"/>
      <c r="D393" s="7"/>
      <c r="E393" s="8"/>
      <c r="F393" s="8"/>
      <c r="G393" s="7" t="str">
        <f t="shared" si="3"/>
        <v/>
      </c>
      <c r="H393" s="8"/>
    </row>
    <row r="394" spans="1:8" ht="12.75">
      <c r="A394" s="2">
        <v>391</v>
      </c>
      <c r="B394" s="7"/>
      <c r="C394" s="7"/>
      <c r="D394" s="7"/>
      <c r="E394" s="8"/>
      <c r="F394" s="8"/>
      <c r="G394" s="7" t="str">
        <f t="shared" si="3"/>
        <v/>
      </c>
      <c r="H394" s="8"/>
    </row>
    <row r="395" spans="1:8" ht="12.75">
      <c r="A395" s="2">
        <v>392</v>
      </c>
      <c r="B395" s="7"/>
      <c r="C395" s="7"/>
      <c r="D395" s="7"/>
      <c r="E395" s="8"/>
      <c r="F395" s="8"/>
      <c r="G395" s="7" t="str">
        <f t="shared" si="3"/>
        <v/>
      </c>
      <c r="H395" s="8"/>
    </row>
    <row r="396" spans="1:8" ht="12.75">
      <c r="A396" s="2">
        <v>393</v>
      </c>
      <c r="B396" s="7"/>
      <c r="C396" s="7"/>
      <c r="D396" s="7"/>
      <c r="E396" s="8"/>
      <c r="F396" s="8"/>
      <c r="G396" s="7" t="str">
        <f t="shared" si="3"/>
        <v/>
      </c>
      <c r="H396" s="8"/>
    </row>
    <row r="397" spans="1:8" ht="12.75">
      <c r="A397" s="2">
        <v>394</v>
      </c>
      <c r="B397" s="7"/>
      <c r="C397" s="7"/>
      <c r="D397" s="7"/>
      <c r="E397" s="8"/>
      <c r="F397" s="8"/>
      <c r="G397" s="7" t="str">
        <f t="shared" si="3"/>
        <v/>
      </c>
      <c r="H397" s="8"/>
    </row>
    <row r="398" spans="1:8" ht="12.75">
      <c r="A398" s="2">
        <v>395</v>
      </c>
      <c r="B398" s="7"/>
      <c r="C398" s="7"/>
      <c r="D398" s="7"/>
      <c r="E398" s="8"/>
      <c r="F398" s="8"/>
      <c r="G398" s="7" t="str">
        <f t="shared" si="3"/>
        <v/>
      </c>
      <c r="H398" s="8"/>
    </row>
    <row r="399" spans="1:8" ht="12.75">
      <c r="A399" s="2">
        <v>396</v>
      </c>
      <c r="B399" s="7"/>
      <c r="C399" s="7"/>
      <c r="D399" s="7"/>
      <c r="E399" s="8"/>
      <c r="F399" s="8"/>
      <c r="G399" s="7" t="str">
        <f t="shared" si="3"/>
        <v/>
      </c>
      <c r="H399" s="8"/>
    </row>
    <row r="400" spans="1:8" ht="12.75">
      <c r="A400" s="2">
        <v>397</v>
      </c>
      <c r="B400" s="7"/>
      <c r="C400" s="7"/>
      <c r="D400" s="7"/>
      <c r="E400" s="8"/>
      <c r="F400" s="8"/>
      <c r="G400" s="7" t="str">
        <f t="shared" si="3"/>
        <v/>
      </c>
      <c r="H400" s="8"/>
    </row>
    <row r="401" spans="1:8" ht="12.75">
      <c r="A401" s="2">
        <v>398</v>
      </c>
      <c r="B401" s="7"/>
      <c r="C401" s="7"/>
      <c r="D401" s="7"/>
      <c r="E401" s="8"/>
      <c r="F401" s="8"/>
      <c r="G401" s="7" t="str">
        <f t="shared" si="3"/>
        <v/>
      </c>
      <c r="H401" s="8"/>
    </row>
    <row r="402" spans="1:8" ht="12.75">
      <c r="A402" s="2">
        <v>399</v>
      </c>
      <c r="B402" s="7"/>
      <c r="C402" s="7"/>
      <c r="D402" s="7"/>
      <c r="E402" s="8"/>
      <c r="F402" s="8"/>
      <c r="G402" s="7" t="str">
        <f t="shared" si="3"/>
        <v/>
      </c>
      <c r="H402" s="8"/>
    </row>
    <row r="403" spans="1:8" ht="12.75">
      <c r="A403" s="2">
        <v>400</v>
      </c>
      <c r="B403" s="7"/>
      <c r="C403" s="7"/>
      <c r="D403" s="7"/>
      <c r="E403" s="8"/>
      <c r="F403" s="8"/>
      <c r="G403" s="7" t="str">
        <f t="shared" si="3"/>
        <v/>
      </c>
      <c r="H403" s="8"/>
    </row>
    <row r="404" spans="1:8" ht="12.75">
      <c r="A404" s="2">
        <v>401</v>
      </c>
      <c r="B404" s="7"/>
      <c r="C404" s="7"/>
      <c r="D404" s="7"/>
      <c r="E404" s="8"/>
      <c r="F404" s="8"/>
      <c r="G404" s="7" t="str">
        <f t="shared" si="3"/>
        <v/>
      </c>
      <c r="H404" s="8"/>
    </row>
    <row r="405" spans="1:8" ht="12.75">
      <c r="A405" s="2">
        <v>402</v>
      </c>
      <c r="B405" s="7"/>
      <c r="C405" s="7"/>
      <c r="D405" s="7"/>
      <c r="E405" s="8"/>
      <c r="F405" s="8"/>
      <c r="G405" s="7" t="str">
        <f t="shared" si="3"/>
        <v/>
      </c>
      <c r="H405" s="8"/>
    </row>
    <row r="406" spans="1:8" ht="12.75">
      <c r="A406" s="2">
        <v>403</v>
      </c>
      <c r="B406" s="7"/>
      <c r="C406" s="7"/>
      <c r="D406" s="7"/>
      <c r="E406" s="8"/>
      <c r="F406" s="8"/>
      <c r="G406" s="7" t="str">
        <f t="shared" si="3"/>
        <v/>
      </c>
      <c r="H406" s="8"/>
    </row>
    <row r="407" spans="1:8" ht="12.75">
      <c r="A407" s="2">
        <v>404</v>
      </c>
      <c r="B407" s="7"/>
      <c r="C407" s="7"/>
      <c r="D407" s="7"/>
      <c r="E407" s="8"/>
      <c r="F407" s="8"/>
      <c r="G407" s="7" t="str">
        <f t="shared" si="3"/>
        <v/>
      </c>
      <c r="H407" s="8"/>
    </row>
    <row r="408" spans="1:8" ht="12.75">
      <c r="A408" s="2">
        <v>405</v>
      </c>
      <c r="B408" s="7"/>
      <c r="C408" s="7"/>
      <c r="D408" s="7"/>
      <c r="E408" s="8"/>
      <c r="F408" s="8"/>
      <c r="G408" s="7" t="str">
        <f t="shared" si="3"/>
        <v/>
      </c>
      <c r="H408" s="8"/>
    </row>
    <row r="409" spans="1:8" ht="12.75">
      <c r="A409" s="2">
        <v>406</v>
      </c>
      <c r="B409" s="7"/>
      <c r="C409" s="7"/>
      <c r="D409" s="7"/>
      <c r="E409" s="8"/>
      <c r="F409" s="8"/>
      <c r="G409" s="7" t="str">
        <f t="shared" si="3"/>
        <v/>
      </c>
      <c r="H409" s="8"/>
    </row>
    <row r="410" spans="1:8" ht="12.75">
      <c r="A410" s="2">
        <v>407</v>
      </c>
      <c r="B410" s="7"/>
      <c r="C410" s="7"/>
      <c r="D410" s="7"/>
      <c r="E410" s="8"/>
      <c r="F410" s="8"/>
      <c r="G410" s="7" t="str">
        <f t="shared" si="3"/>
        <v/>
      </c>
      <c r="H410" s="8"/>
    </row>
    <row r="411" spans="1:8" ht="12.75">
      <c r="A411" s="2">
        <v>408</v>
      </c>
      <c r="B411" s="7"/>
      <c r="C411" s="7"/>
      <c r="D411" s="7"/>
      <c r="E411" s="8"/>
      <c r="F411" s="8"/>
      <c r="G411" s="7" t="str">
        <f t="shared" si="3"/>
        <v/>
      </c>
      <c r="H411" s="8"/>
    </row>
    <row r="412" spans="1:8" ht="12.75">
      <c r="A412" s="2">
        <v>409</v>
      </c>
      <c r="B412" s="7"/>
      <c r="C412" s="7"/>
      <c r="D412" s="7"/>
      <c r="E412" s="8"/>
      <c r="F412" s="8"/>
      <c r="G412" s="7" t="str">
        <f t="shared" si="3"/>
        <v/>
      </c>
      <c r="H412" s="8"/>
    </row>
    <row r="413" spans="1:8" ht="12.75">
      <c r="A413" s="2">
        <v>410</v>
      </c>
      <c r="B413" s="7"/>
      <c r="C413" s="7"/>
      <c r="D413" s="7"/>
      <c r="E413" s="8"/>
      <c r="F413" s="8"/>
      <c r="G413" s="7" t="str">
        <f t="shared" si="3"/>
        <v/>
      </c>
      <c r="H413" s="8"/>
    </row>
    <row r="414" spans="1:8" ht="12.75">
      <c r="A414" s="2">
        <v>411</v>
      </c>
      <c r="B414" s="7"/>
      <c r="C414" s="7"/>
      <c r="D414" s="7"/>
      <c r="E414" s="8"/>
      <c r="F414" s="8"/>
      <c r="G414" s="7" t="str">
        <f t="shared" si="3"/>
        <v/>
      </c>
      <c r="H414" s="8"/>
    </row>
    <row r="415" spans="1:8" ht="12.75">
      <c r="A415" s="2">
        <v>412</v>
      </c>
      <c r="B415" s="7"/>
      <c r="C415" s="7"/>
      <c r="D415" s="7"/>
      <c r="E415" s="8"/>
      <c r="F415" s="8"/>
      <c r="G415" s="7" t="str">
        <f t="shared" si="3"/>
        <v/>
      </c>
      <c r="H415" s="8"/>
    </row>
    <row r="416" spans="1:8" ht="12.75">
      <c r="A416" s="2">
        <v>413</v>
      </c>
      <c r="B416" s="7"/>
      <c r="C416" s="7"/>
      <c r="D416" s="7"/>
      <c r="E416" s="8"/>
      <c r="F416" s="8"/>
      <c r="G416" s="7" t="str">
        <f t="shared" si="3"/>
        <v/>
      </c>
      <c r="H416" s="8"/>
    </row>
    <row r="417" spans="1:8" ht="12.75">
      <c r="A417" s="2">
        <v>414</v>
      </c>
      <c r="B417" s="7"/>
      <c r="C417" s="7"/>
      <c r="D417" s="7"/>
      <c r="E417" s="8"/>
      <c r="F417" s="8"/>
      <c r="G417" s="7" t="str">
        <f t="shared" si="3"/>
        <v/>
      </c>
      <c r="H417" s="8"/>
    </row>
    <row r="418" spans="1:8" ht="12.75">
      <c r="A418" s="2">
        <v>415</v>
      </c>
      <c r="B418" s="7"/>
      <c r="C418" s="7"/>
      <c r="D418" s="7"/>
      <c r="E418" s="8"/>
      <c r="F418" s="8"/>
      <c r="G418" s="7" t="str">
        <f t="shared" si="3"/>
        <v/>
      </c>
      <c r="H418" s="8"/>
    </row>
    <row r="419" spans="1:8" ht="12.75">
      <c r="A419" s="2">
        <v>416</v>
      </c>
      <c r="B419" s="7"/>
      <c r="C419" s="7"/>
      <c r="D419" s="7"/>
      <c r="E419" s="8"/>
      <c r="F419" s="8"/>
      <c r="G419" s="7" t="str">
        <f t="shared" si="3"/>
        <v/>
      </c>
      <c r="H419" s="8"/>
    </row>
    <row r="420" spans="1:8" ht="12.75">
      <c r="A420" s="2">
        <v>417</v>
      </c>
      <c r="B420" s="7"/>
      <c r="C420" s="7"/>
      <c r="D420" s="7"/>
      <c r="E420" s="8"/>
      <c r="F420" s="8"/>
      <c r="G420" s="7" t="str">
        <f t="shared" si="3"/>
        <v/>
      </c>
      <c r="H420" s="8"/>
    </row>
    <row r="421" spans="1:8" ht="12.75">
      <c r="A421" s="2">
        <v>418</v>
      </c>
      <c r="B421" s="7"/>
      <c r="C421" s="7"/>
      <c r="D421" s="7"/>
      <c r="E421" s="8"/>
      <c r="F421" s="8"/>
      <c r="G421" s="7" t="str">
        <f t="shared" si="3"/>
        <v/>
      </c>
      <c r="H421" s="8"/>
    </row>
    <row r="422" spans="1:8" ht="12.75">
      <c r="A422" s="2">
        <v>419</v>
      </c>
      <c r="B422" s="7"/>
      <c r="C422" s="7"/>
      <c r="D422" s="7"/>
      <c r="E422" s="8"/>
      <c r="F422" s="8"/>
      <c r="G422" s="7" t="str">
        <f t="shared" si="3"/>
        <v/>
      </c>
      <c r="H422" s="8"/>
    </row>
    <row r="423" spans="1:8" ht="12.75">
      <c r="A423" s="2">
        <v>420</v>
      </c>
      <c r="B423" s="7"/>
      <c r="C423" s="7"/>
      <c r="D423" s="7"/>
      <c r="E423" s="8"/>
      <c r="F423" s="8"/>
      <c r="G423" s="7" t="str">
        <f t="shared" si="3"/>
        <v/>
      </c>
      <c r="H423" s="8"/>
    </row>
    <row r="424" spans="1:8" ht="12.75">
      <c r="A424" s="2">
        <v>421</v>
      </c>
      <c r="B424" s="7"/>
      <c r="C424" s="7"/>
      <c r="D424" s="7"/>
      <c r="E424" s="8"/>
      <c r="F424" s="8"/>
      <c r="G424" s="7" t="str">
        <f t="shared" si="3"/>
        <v/>
      </c>
      <c r="H424" s="8"/>
    </row>
    <row r="425" spans="1:8" ht="12.75">
      <c r="A425" s="2">
        <v>422</v>
      </c>
      <c r="B425" s="7"/>
      <c r="C425" s="7"/>
      <c r="D425" s="7"/>
      <c r="E425" s="8"/>
      <c r="F425" s="8"/>
      <c r="G425" s="7" t="str">
        <f t="shared" si="3"/>
        <v/>
      </c>
      <c r="H425" s="8"/>
    </row>
    <row r="426" spans="1:8" ht="12.75">
      <c r="A426" s="2">
        <v>423</v>
      </c>
      <c r="B426" s="7"/>
      <c r="C426" s="7"/>
      <c r="D426" s="7"/>
      <c r="E426" s="8"/>
      <c r="F426" s="8"/>
      <c r="G426" s="7" t="str">
        <f t="shared" si="3"/>
        <v/>
      </c>
      <c r="H426" s="8"/>
    </row>
    <row r="427" spans="1:8" ht="12.75">
      <c r="A427" s="2">
        <v>424</v>
      </c>
      <c r="B427" s="7"/>
      <c r="C427" s="7"/>
      <c r="D427" s="7"/>
      <c r="E427" s="8"/>
      <c r="F427" s="8"/>
      <c r="G427" s="7" t="str">
        <f t="shared" si="3"/>
        <v/>
      </c>
      <c r="H427" s="8"/>
    </row>
    <row r="428" spans="1:8" ht="12.75">
      <c r="A428" s="2">
        <v>425</v>
      </c>
      <c r="B428" s="7"/>
      <c r="C428" s="7"/>
      <c r="D428" s="7"/>
      <c r="E428" s="8"/>
      <c r="F428" s="8"/>
      <c r="G428" s="7" t="str">
        <f t="shared" si="3"/>
        <v/>
      </c>
      <c r="H428" s="8"/>
    </row>
    <row r="429" spans="1:8" ht="12.75">
      <c r="A429" s="2">
        <v>426</v>
      </c>
      <c r="B429" s="7"/>
      <c r="C429" s="7"/>
      <c r="D429" s="7"/>
      <c r="E429" s="8"/>
      <c r="F429" s="8"/>
      <c r="G429" s="7" t="str">
        <f t="shared" si="3"/>
        <v/>
      </c>
      <c r="H429" s="8"/>
    </row>
    <row r="430" spans="1:8" ht="12.75">
      <c r="A430" s="2">
        <v>427</v>
      </c>
      <c r="B430" s="7"/>
      <c r="C430" s="7"/>
      <c r="D430" s="7"/>
      <c r="E430" s="8"/>
      <c r="F430" s="8"/>
      <c r="G430" s="7" t="str">
        <f t="shared" si="3"/>
        <v/>
      </c>
      <c r="H430" s="8"/>
    </row>
    <row r="431" spans="1:8" ht="12.75">
      <c r="A431" s="2">
        <v>428</v>
      </c>
      <c r="B431" s="7"/>
      <c r="C431" s="7"/>
      <c r="D431" s="7"/>
      <c r="E431" s="8"/>
      <c r="F431" s="8"/>
      <c r="G431" s="7" t="str">
        <f t="shared" si="3"/>
        <v/>
      </c>
      <c r="H431" s="8"/>
    </row>
    <row r="432" spans="1:8" ht="12.75">
      <c r="A432" s="2">
        <v>429</v>
      </c>
      <c r="B432" s="7"/>
      <c r="C432" s="7"/>
      <c r="D432" s="7"/>
      <c r="E432" s="8"/>
      <c r="F432" s="8"/>
      <c r="G432" s="7" t="str">
        <f t="shared" si="3"/>
        <v/>
      </c>
      <c r="H432" s="8"/>
    </row>
    <row r="433" spans="1:8" ht="12.75">
      <c r="A433" s="2">
        <v>430</v>
      </c>
      <c r="B433" s="7"/>
      <c r="C433" s="7"/>
      <c r="D433" s="7"/>
      <c r="E433" s="8"/>
      <c r="F433" s="8"/>
      <c r="G433" s="7" t="str">
        <f t="shared" si="3"/>
        <v/>
      </c>
      <c r="H433" s="8"/>
    </row>
    <row r="434" spans="1:8" ht="12.75">
      <c r="A434" s="2">
        <v>431</v>
      </c>
      <c r="B434" s="7"/>
      <c r="C434" s="7"/>
      <c r="D434" s="7"/>
      <c r="E434" s="8"/>
      <c r="F434" s="8"/>
      <c r="G434" s="7" t="str">
        <f t="shared" si="3"/>
        <v/>
      </c>
      <c r="H434" s="8"/>
    </row>
    <row r="435" spans="1:8" ht="12.75">
      <c r="A435" s="2">
        <v>432</v>
      </c>
      <c r="B435" s="7"/>
      <c r="C435" s="7"/>
      <c r="D435" s="7"/>
      <c r="E435" s="8"/>
      <c r="F435" s="8"/>
      <c r="G435" s="7" t="str">
        <f t="shared" si="3"/>
        <v/>
      </c>
      <c r="H435" s="8"/>
    </row>
    <row r="436" spans="1:8" ht="12.75">
      <c r="A436" s="2">
        <v>433</v>
      </c>
      <c r="B436" s="7"/>
      <c r="C436" s="7"/>
      <c r="D436" s="7"/>
      <c r="E436" s="8"/>
      <c r="F436" s="8"/>
      <c r="G436" s="7" t="str">
        <f t="shared" si="3"/>
        <v/>
      </c>
      <c r="H436" s="8"/>
    </row>
    <row r="437" spans="1:8" ht="12.75">
      <c r="A437" s="2">
        <v>434</v>
      </c>
      <c r="B437" s="7"/>
      <c r="C437" s="7"/>
      <c r="D437" s="7"/>
      <c r="E437" s="8"/>
      <c r="F437" s="8"/>
      <c r="G437" s="7" t="str">
        <f t="shared" si="3"/>
        <v/>
      </c>
      <c r="H437" s="8"/>
    </row>
    <row r="438" spans="1:8" ht="12.75">
      <c r="A438" s="2">
        <v>435</v>
      </c>
      <c r="B438" s="7"/>
      <c r="C438" s="7"/>
      <c r="D438" s="7"/>
      <c r="E438" s="8"/>
      <c r="F438" s="8"/>
      <c r="G438" s="7" t="str">
        <f t="shared" si="3"/>
        <v/>
      </c>
      <c r="H438" s="8"/>
    </row>
    <row r="439" spans="1:8" ht="12.75">
      <c r="A439" s="2">
        <v>436</v>
      </c>
      <c r="B439" s="7"/>
      <c r="C439" s="7"/>
      <c r="D439" s="7"/>
      <c r="E439" s="8"/>
      <c r="F439" s="8"/>
      <c r="G439" s="7" t="str">
        <f t="shared" si="3"/>
        <v/>
      </c>
      <c r="H439" s="8"/>
    </row>
    <row r="440" spans="1:8" ht="12.75">
      <c r="A440" s="2">
        <v>437</v>
      </c>
      <c r="B440" s="7"/>
      <c r="C440" s="7"/>
      <c r="D440" s="7"/>
      <c r="E440" s="8"/>
      <c r="F440" s="8"/>
      <c r="G440" s="7" t="str">
        <f t="shared" si="3"/>
        <v/>
      </c>
      <c r="H440" s="8"/>
    </row>
    <row r="441" spans="1:8" ht="12.75">
      <c r="A441" s="2">
        <v>438</v>
      </c>
      <c r="B441" s="7"/>
      <c r="C441" s="7"/>
      <c r="D441" s="7"/>
      <c r="E441" s="8"/>
      <c r="F441" s="8"/>
      <c r="G441" s="7" t="str">
        <f t="shared" si="3"/>
        <v/>
      </c>
      <c r="H441" s="8"/>
    </row>
    <row r="442" spans="1:8" ht="12.75">
      <c r="A442" s="2">
        <v>439</v>
      </c>
      <c r="B442" s="7"/>
      <c r="C442" s="7"/>
      <c r="D442" s="7"/>
      <c r="E442" s="8"/>
      <c r="F442" s="8"/>
      <c r="G442" s="7" t="str">
        <f t="shared" si="3"/>
        <v/>
      </c>
      <c r="H442" s="8"/>
    </row>
    <row r="443" spans="1:8" ht="12.75">
      <c r="A443" s="2">
        <v>440</v>
      </c>
      <c r="B443" s="7"/>
      <c r="C443" s="7"/>
      <c r="D443" s="7"/>
      <c r="E443" s="8"/>
      <c r="F443" s="8"/>
      <c r="G443" s="7" t="str">
        <f t="shared" si="3"/>
        <v/>
      </c>
      <c r="H443" s="8"/>
    </row>
    <row r="444" spans="1:8" ht="12.75">
      <c r="A444" s="2">
        <v>441</v>
      </c>
      <c r="B444" s="7"/>
      <c r="C444" s="7"/>
      <c r="D444" s="7"/>
      <c r="E444" s="8"/>
      <c r="F444" s="8"/>
      <c r="G444" s="7" t="str">
        <f t="shared" si="3"/>
        <v/>
      </c>
      <c r="H444" s="8"/>
    </row>
    <row r="445" spans="1:8" ht="12.75">
      <c r="A445" s="2">
        <v>442</v>
      </c>
      <c r="B445" s="7"/>
      <c r="C445" s="7"/>
      <c r="D445" s="7"/>
      <c r="E445" s="8"/>
      <c r="F445" s="8"/>
      <c r="G445" s="7" t="str">
        <f t="shared" si="3"/>
        <v/>
      </c>
      <c r="H445" s="8"/>
    </row>
    <row r="446" spans="1:8" ht="12.75">
      <c r="A446" s="2">
        <v>443</v>
      </c>
      <c r="B446" s="7"/>
      <c r="C446" s="7"/>
      <c r="D446" s="7"/>
      <c r="E446" s="8"/>
      <c r="F446" s="8"/>
      <c r="G446" s="7" t="str">
        <f t="shared" si="3"/>
        <v/>
      </c>
      <c r="H446" s="8"/>
    </row>
    <row r="447" spans="1:8" ht="12.75">
      <c r="A447" s="2">
        <v>444</v>
      </c>
      <c r="B447" s="7"/>
      <c r="C447" s="7"/>
      <c r="D447" s="7"/>
      <c r="E447" s="8"/>
      <c r="F447" s="8"/>
      <c r="G447" s="7" t="str">
        <f t="shared" si="3"/>
        <v/>
      </c>
      <c r="H447" s="8"/>
    </row>
    <row r="448" spans="1:8" ht="12.75">
      <c r="A448" s="2">
        <v>445</v>
      </c>
      <c r="B448" s="7"/>
      <c r="C448" s="7"/>
      <c r="D448" s="7"/>
      <c r="E448" s="8"/>
      <c r="F448" s="8"/>
      <c r="G448" s="7" t="str">
        <f t="shared" si="3"/>
        <v/>
      </c>
      <c r="H448" s="8"/>
    </row>
    <row r="449" spans="1:8" ht="12.75">
      <c r="A449" s="2">
        <v>446</v>
      </c>
      <c r="B449" s="7"/>
      <c r="C449" s="7"/>
      <c r="D449" s="7"/>
      <c r="E449" s="8"/>
      <c r="F449" s="8"/>
      <c r="G449" s="7" t="str">
        <f t="shared" si="3"/>
        <v/>
      </c>
      <c r="H449" s="8"/>
    </row>
    <row r="450" spans="1:8" ht="12.75">
      <c r="A450" s="2">
        <v>447</v>
      </c>
      <c r="B450" s="7"/>
      <c r="C450" s="7"/>
      <c r="D450" s="7"/>
      <c r="E450" s="8"/>
      <c r="F450" s="8"/>
      <c r="G450" s="7" t="str">
        <f t="shared" si="3"/>
        <v/>
      </c>
      <c r="H450" s="8"/>
    </row>
    <row r="451" spans="1:8" ht="12.75">
      <c r="A451" s="2">
        <v>448</v>
      </c>
      <c r="B451" s="7"/>
      <c r="C451" s="7"/>
      <c r="D451" s="7"/>
      <c r="E451" s="8"/>
      <c r="F451" s="8"/>
      <c r="G451" s="7" t="str">
        <f t="shared" si="3"/>
        <v/>
      </c>
      <c r="H451" s="8"/>
    </row>
    <row r="452" spans="1:8" ht="12.75">
      <c r="A452" s="2">
        <v>449</v>
      </c>
      <c r="B452" s="7"/>
      <c r="C452" s="7"/>
      <c r="D452" s="7"/>
      <c r="E452" s="8"/>
      <c r="F452" s="8"/>
      <c r="G452" s="7" t="str">
        <f t="shared" si="3"/>
        <v/>
      </c>
      <c r="H452" s="8"/>
    </row>
    <row r="453" spans="1:8" ht="12.75">
      <c r="A453" s="2">
        <v>450</v>
      </c>
      <c r="B453" s="7"/>
      <c r="C453" s="7"/>
      <c r="D453" s="7"/>
      <c r="E453" s="8"/>
      <c r="F453" s="8"/>
      <c r="G453" s="7" t="str">
        <f t="shared" si="3"/>
        <v/>
      </c>
      <c r="H453" s="8"/>
    </row>
    <row r="454" spans="1:8" ht="12.75">
      <c r="A454" s="2">
        <v>451</v>
      </c>
      <c r="B454" s="7"/>
      <c r="C454" s="7"/>
      <c r="D454" s="7"/>
      <c r="E454" s="8"/>
      <c r="F454" s="8"/>
      <c r="G454" s="7" t="str">
        <f t="shared" si="3"/>
        <v/>
      </c>
      <c r="H454" s="8"/>
    </row>
    <row r="455" spans="1:8" ht="12.75">
      <c r="A455" s="2">
        <v>452</v>
      </c>
      <c r="B455" s="7"/>
      <c r="C455" s="7"/>
      <c r="D455" s="7"/>
      <c r="E455" s="8"/>
      <c r="F455" s="8"/>
      <c r="G455" s="7" t="str">
        <f t="shared" si="3"/>
        <v/>
      </c>
      <c r="H455" s="8"/>
    </row>
    <row r="456" spans="1:8" ht="12.75">
      <c r="A456" s="2">
        <v>453</v>
      </c>
      <c r="B456" s="7"/>
      <c r="C456" s="7"/>
      <c r="D456" s="7"/>
      <c r="E456" s="8"/>
      <c r="F456" s="8"/>
      <c r="G456" s="7" t="str">
        <f t="shared" si="3"/>
        <v/>
      </c>
      <c r="H456" s="8"/>
    </row>
    <row r="457" spans="1:8" ht="12.75">
      <c r="A457" s="2">
        <v>454</v>
      </c>
      <c r="B457" s="7"/>
      <c r="C457" s="7"/>
      <c r="D457" s="7"/>
      <c r="E457" s="8"/>
      <c r="F457" s="8"/>
      <c r="G457" s="7" t="str">
        <f t="shared" si="3"/>
        <v/>
      </c>
      <c r="H457" s="8"/>
    </row>
    <row r="458" spans="1:8" ht="12.75">
      <c r="A458" s="2">
        <v>455</v>
      </c>
      <c r="B458" s="7"/>
      <c r="C458" s="7"/>
      <c r="D458" s="7"/>
      <c r="E458" s="8"/>
      <c r="F458" s="8"/>
      <c r="G458" s="7" t="str">
        <f t="shared" si="3"/>
        <v/>
      </c>
      <c r="H458" s="8"/>
    </row>
    <row r="459" spans="1:8" ht="12.75">
      <c r="A459" s="2">
        <v>456</v>
      </c>
      <c r="B459" s="7"/>
      <c r="C459" s="7"/>
      <c r="D459" s="7"/>
      <c r="E459" s="8"/>
      <c r="F459" s="8"/>
      <c r="G459" s="7" t="str">
        <f t="shared" si="3"/>
        <v/>
      </c>
      <c r="H459" s="8"/>
    </row>
    <row r="460" spans="1:8" ht="12.75">
      <c r="A460" s="2">
        <v>457</v>
      </c>
      <c r="B460" s="7"/>
      <c r="C460" s="7"/>
      <c r="D460" s="7"/>
      <c r="E460" s="8"/>
      <c r="F460" s="8"/>
      <c r="G460" s="7" t="str">
        <f t="shared" si="3"/>
        <v/>
      </c>
      <c r="H460" s="8"/>
    </row>
    <row r="461" spans="1:8" ht="12.75">
      <c r="A461" s="2">
        <v>458</v>
      </c>
      <c r="B461" s="7"/>
      <c r="C461" s="7"/>
      <c r="D461" s="7"/>
      <c r="E461" s="8"/>
      <c r="F461" s="8"/>
      <c r="G461" s="7" t="str">
        <f t="shared" si="3"/>
        <v/>
      </c>
      <c r="H461" s="8"/>
    </row>
    <row r="462" spans="1:8" ht="12.75">
      <c r="A462" s="2">
        <v>459</v>
      </c>
      <c r="B462" s="7"/>
      <c r="C462" s="7"/>
      <c r="D462" s="7"/>
      <c r="E462" s="8"/>
      <c r="F462" s="8"/>
      <c r="G462" s="7" t="str">
        <f t="shared" si="3"/>
        <v/>
      </c>
      <c r="H462" s="8"/>
    </row>
    <row r="463" spans="1:8" ht="12.75">
      <c r="A463" s="2">
        <v>460</v>
      </c>
      <c r="B463" s="7"/>
      <c r="C463" s="7"/>
      <c r="D463" s="7"/>
      <c r="E463" s="8"/>
      <c r="F463" s="8"/>
      <c r="G463" s="7" t="str">
        <f t="shared" si="3"/>
        <v/>
      </c>
      <c r="H463" s="8"/>
    </row>
    <row r="464" spans="1:8" ht="12.75">
      <c r="A464" s="2">
        <v>461</v>
      </c>
      <c r="B464" s="7"/>
      <c r="C464" s="7"/>
      <c r="D464" s="7"/>
      <c r="E464" s="8"/>
      <c r="F464" s="8"/>
      <c r="G464" s="7" t="str">
        <f t="shared" si="3"/>
        <v/>
      </c>
      <c r="H464" s="8"/>
    </row>
    <row r="465" spans="1:8" ht="12.75">
      <c r="A465" s="2">
        <v>462</v>
      </c>
      <c r="B465" s="7"/>
      <c r="C465" s="7"/>
      <c r="D465" s="7"/>
      <c r="E465" s="8"/>
      <c r="F465" s="8"/>
      <c r="G465" s="7" t="str">
        <f t="shared" si="3"/>
        <v/>
      </c>
      <c r="H465" s="8"/>
    </row>
    <row r="466" spans="1:8" ht="12.75">
      <c r="A466" s="2">
        <v>463</v>
      </c>
      <c r="B466" s="7"/>
      <c r="C466" s="7"/>
      <c r="D466" s="7"/>
      <c r="E466" s="8"/>
      <c r="F466" s="8"/>
      <c r="G466" s="7" t="str">
        <f t="shared" si="3"/>
        <v/>
      </c>
      <c r="H466" s="8"/>
    </row>
    <row r="467" spans="1:8" ht="12.75">
      <c r="A467" s="2">
        <v>464</v>
      </c>
      <c r="B467" s="7"/>
      <c r="C467" s="7"/>
      <c r="D467" s="7"/>
      <c r="E467" s="8"/>
      <c r="F467" s="8"/>
      <c r="G467" s="7" t="str">
        <f t="shared" si="3"/>
        <v/>
      </c>
      <c r="H467" s="8"/>
    </row>
    <row r="468" spans="1:8" ht="12.75">
      <c r="A468" s="2">
        <v>465</v>
      </c>
      <c r="B468" s="7"/>
      <c r="C468" s="7"/>
      <c r="D468" s="7"/>
      <c r="E468" s="8"/>
      <c r="F468" s="8"/>
      <c r="G468" s="7" t="str">
        <f t="shared" si="3"/>
        <v/>
      </c>
      <c r="H468" s="8"/>
    </row>
    <row r="469" spans="1:8" ht="12.75">
      <c r="A469" s="2">
        <v>466</v>
      </c>
      <c r="B469" s="7"/>
      <c r="C469" s="7"/>
      <c r="D469" s="7"/>
      <c r="E469" s="8"/>
      <c r="F469" s="8"/>
      <c r="G469" s="7" t="str">
        <f t="shared" si="3"/>
        <v/>
      </c>
      <c r="H469" s="8"/>
    </row>
    <row r="470" spans="1:8" ht="12.75">
      <c r="A470" s="2">
        <v>467</v>
      </c>
      <c r="B470" s="7"/>
      <c r="C470" s="7"/>
      <c r="D470" s="7"/>
      <c r="E470" s="8"/>
      <c r="F470" s="8"/>
      <c r="G470" s="7" t="str">
        <f t="shared" si="3"/>
        <v/>
      </c>
      <c r="H470" s="8"/>
    </row>
    <row r="471" spans="1:8" ht="12.75">
      <c r="A471" s="2">
        <v>468</v>
      </c>
      <c r="B471" s="7"/>
      <c r="C471" s="7"/>
      <c r="D471" s="7"/>
      <c r="E471" s="8"/>
      <c r="F471" s="8"/>
      <c r="G471" s="7" t="str">
        <f t="shared" si="3"/>
        <v/>
      </c>
      <c r="H471" s="8"/>
    </row>
    <row r="472" spans="1:8" ht="12.75">
      <c r="A472" s="2">
        <v>469</v>
      </c>
      <c r="B472" s="7"/>
      <c r="C472" s="7"/>
      <c r="D472" s="7"/>
      <c r="E472" s="8"/>
      <c r="F472" s="8"/>
      <c r="G472" s="7" t="str">
        <f t="shared" si="3"/>
        <v/>
      </c>
      <c r="H472" s="8"/>
    </row>
    <row r="473" spans="1:8" ht="12.75">
      <c r="A473" s="2">
        <v>470</v>
      </c>
      <c r="B473" s="7"/>
      <c r="C473" s="7"/>
      <c r="D473" s="7"/>
      <c r="E473" s="8"/>
      <c r="F473" s="8"/>
      <c r="G473" s="7" t="str">
        <f t="shared" si="3"/>
        <v/>
      </c>
      <c r="H473" s="8"/>
    </row>
    <row r="474" spans="1:8" ht="12.75">
      <c r="A474" s="2">
        <v>471</v>
      </c>
      <c r="B474" s="7"/>
      <c r="C474" s="7"/>
      <c r="D474" s="7"/>
      <c r="E474" s="8"/>
      <c r="F474" s="8"/>
      <c r="G474" s="7" t="str">
        <f t="shared" si="3"/>
        <v/>
      </c>
      <c r="H474" s="8"/>
    </row>
    <row r="475" spans="1:8" ht="12.75">
      <c r="A475" s="2">
        <v>472</v>
      </c>
      <c r="B475" s="7"/>
      <c r="C475" s="7"/>
      <c r="D475" s="7"/>
      <c r="E475" s="8"/>
      <c r="F475" s="8"/>
      <c r="G475" s="7" t="str">
        <f t="shared" si="3"/>
        <v/>
      </c>
      <c r="H475" s="8"/>
    </row>
    <row r="476" spans="1:8" ht="12.75">
      <c r="A476" s="2">
        <v>473</v>
      </c>
      <c r="B476" s="7"/>
      <c r="C476" s="7"/>
      <c r="D476" s="7"/>
      <c r="E476" s="8"/>
      <c r="F476" s="8"/>
      <c r="G476" s="7" t="str">
        <f t="shared" si="3"/>
        <v/>
      </c>
      <c r="H476" s="8"/>
    </row>
    <row r="477" spans="1:8" ht="12.75">
      <c r="A477" s="2">
        <v>474</v>
      </c>
      <c r="B477" s="7"/>
      <c r="C477" s="7"/>
      <c r="D477" s="7"/>
      <c r="E477" s="8"/>
      <c r="F477" s="8"/>
      <c r="G477" s="7" t="str">
        <f t="shared" si="3"/>
        <v/>
      </c>
      <c r="H477" s="8"/>
    </row>
    <row r="478" spans="1:8" ht="12.75">
      <c r="A478" s="2">
        <v>475</v>
      </c>
      <c r="B478" s="7"/>
      <c r="C478" s="7"/>
      <c r="D478" s="7"/>
      <c r="E478" s="8"/>
      <c r="F478" s="8"/>
      <c r="G478" s="7" t="str">
        <f t="shared" si="3"/>
        <v/>
      </c>
      <c r="H478" s="8"/>
    </row>
    <row r="479" spans="1:8" ht="12.75">
      <c r="A479" s="2">
        <v>476</v>
      </c>
      <c r="B479" s="7"/>
      <c r="C479" s="7"/>
      <c r="D479" s="7"/>
      <c r="E479" s="8"/>
      <c r="F479" s="8"/>
      <c r="G479" s="7" t="str">
        <f t="shared" si="3"/>
        <v/>
      </c>
      <c r="H479" s="8"/>
    </row>
    <row r="480" spans="1:8" ht="12.75">
      <c r="A480" s="2">
        <v>477</v>
      </c>
      <c r="B480" s="7"/>
      <c r="C480" s="7"/>
      <c r="D480" s="7"/>
      <c r="E480" s="8"/>
      <c r="F480" s="8"/>
      <c r="G480" s="7" t="str">
        <f t="shared" si="3"/>
        <v/>
      </c>
      <c r="H480" s="8"/>
    </row>
    <row r="481" spans="1:8" ht="12.75">
      <c r="A481" s="2">
        <v>478</v>
      </c>
      <c r="B481" s="7"/>
      <c r="C481" s="7"/>
      <c r="D481" s="7"/>
      <c r="E481" s="8"/>
      <c r="F481" s="8"/>
      <c r="G481" s="7" t="str">
        <f t="shared" si="3"/>
        <v/>
      </c>
      <c r="H481" s="8"/>
    </row>
    <row r="482" spans="1:8" ht="12.75">
      <c r="A482" s="2">
        <v>479</v>
      </c>
      <c r="B482" s="7"/>
      <c r="C482" s="7"/>
      <c r="D482" s="7"/>
      <c r="E482" s="8"/>
      <c r="F482" s="8"/>
      <c r="G482" s="7" t="str">
        <f t="shared" si="3"/>
        <v/>
      </c>
      <c r="H482" s="8"/>
    </row>
    <row r="483" spans="1:8" ht="12.75">
      <c r="A483" s="2">
        <v>480</v>
      </c>
      <c r="B483" s="7"/>
      <c r="C483" s="7"/>
      <c r="D483" s="7"/>
      <c r="E483" s="8"/>
      <c r="F483" s="8"/>
      <c r="G483" s="7" t="str">
        <f t="shared" si="3"/>
        <v/>
      </c>
      <c r="H483" s="8"/>
    </row>
    <row r="484" spans="1:8" ht="12.75">
      <c r="A484" s="2">
        <v>481</v>
      </c>
      <c r="B484" s="7"/>
      <c r="C484" s="7"/>
      <c r="D484" s="7"/>
      <c r="E484" s="8"/>
      <c r="F484" s="8"/>
      <c r="G484" s="7" t="str">
        <f t="shared" si="3"/>
        <v/>
      </c>
      <c r="H484" s="8"/>
    </row>
    <row r="485" spans="1:8" ht="12.75">
      <c r="A485" s="2">
        <v>482</v>
      </c>
      <c r="B485" s="7"/>
      <c r="C485" s="7"/>
      <c r="D485" s="7"/>
      <c r="E485" s="8"/>
      <c r="F485" s="8"/>
      <c r="G485" s="7" t="str">
        <f t="shared" si="3"/>
        <v/>
      </c>
      <c r="H485" s="8"/>
    </row>
    <row r="486" spans="1:8" ht="12.75">
      <c r="A486" s="2">
        <v>483</v>
      </c>
      <c r="B486" s="7"/>
      <c r="C486" s="7"/>
      <c r="D486" s="7"/>
      <c r="E486" s="8"/>
      <c r="F486" s="8"/>
      <c r="G486" s="7" t="str">
        <f t="shared" si="3"/>
        <v/>
      </c>
      <c r="H486" s="8"/>
    </row>
    <row r="487" spans="1:8" ht="12.75">
      <c r="A487" s="2">
        <v>484</v>
      </c>
      <c r="B487" s="7"/>
      <c r="C487" s="7"/>
      <c r="D487" s="7"/>
      <c r="E487" s="8"/>
      <c r="F487" s="8"/>
      <c r="G487" s="7" t="str">
        <f t="shared" si="3"/>
        <v/>
      </c>
      <c r="H487" s="8"/>
    </row>
    <row r="488" spans="1:8" ht="12.75">
      <c r="A488" s="2">
        <v>485</v>
      </c>
      <c r="B488" s="7"/>
      <c r="C488" s="7"/>
      <c r="D488" s="7"/>
      <c r="E488" s="8"/>
      <c r="F488" s="8"/>
      <c r="G488" s="7" t="str">
        <f t="shared" si="3"/>
        <v/>
      </c>
      <c r="H488" s="8"/>
    </row>
    <row r="489" spans="1:8" ht="12.75">
      <c r="A489" s="2">
        <v>486</v>
      </c>
      <c r="B489" s="7"/>
      <c r="C489" s="7"/>
      <c r="D489" s="7"/>
      <c r="E489" s="8"/>
      <c r="F489" s="8"/>
      <c r="G489" s="7" t="str">
        <f t="shared" si="3"/>
        <v/>
      </c>
      <c r="H489" s="8"/>
    </row>
    <row r="490" spans="1:8" ht="12.75">
      <c r="A490" s="2">
        <v>487</v>
      </c>
      <c r="B490" s="7"/>
      <c r="C490" s="7"/>
      <c r="D490" s="7"/>
      <c r="E490" s="8"/>
      <c r="F490" s="8"/>
      <c r="G490" s="7" t="str">
        <f t="shared" si="3"/>
        <v/>
      </c>
      <c r="H490" s="8"/>
    </row>
    <row r="491" spans="1:8" ht="12.75">
      <c r="A491" s="2">
        <v>488</v>
      </c>
      <c r="B491" s="7"/>
      <c r="C491" s="7"/>
      <c r="D491" s="7"/>
      <c r="E491" s="8"/>
      <c r="F491" s="8"/>
      <c r="G491" s="7" t="str">
        <f t="shared" si="3"/>
        <v/>
      </c>
      <c r="H491" s="8"/>
    </row>
    <row r="492" spans="1:8" ht="12.75">
      <c r="A492" s="2">
        <v>489</v>
      </c>
      <c r="B492" s="7"/>
      <c r="C492" s="7"/>
      <c r="D492" s="7"/>
      <c r="E492" s="8"/>
      <c r="F492" s="8"/>
      <c r="G492" s="7" t="str">
        <f t="shared" si="3"/>
        <v/>
      </c>
      <c r="H492" s="8"/>
    </row>
    <row r="493" spans="1:8" ht="12.75">
      <c r="A493" s="2">
        <v>490</v>
      </c>
      <c r="B493" s="7"/>
      <c r="C493" s="7"/>
      <c r="D493" s="7"/>
      <c r="E493" s="8"/>
      <c r="F493" s="8"/>
      <c r="G493" s="7" t="str">
        <f t="shared" si="3"/>
        <v/>
      </c>
      <c r="H493" s="8"/>
    </row>
    <row r="494" spans="1:8" ht="12.75">
      <c r="A494" s="2">
        <v>491</v>
      </c>
      <c r="B494" s="7"/>
      <c r="C494" s="7"/>
      <c r="D494" s="7"/>
      <c r="E494" s="8"/>
      <c r="F494" s="8"/>
      <c r="G494" s="7" t="str">
        <f t="shared" si="3"/>
        <v/>
      </c>
      <c r="H494" s="8"/>
    </row>
    <row r="495" spans="1:8" ht="12.75">
      <c r="A495" s="2">
        <v>492</v>
      </c>
      <c r="B495" s="7"/>
      <c r="C495" s="7"/>
      <c r="D495" s="7"/>
      <c r="E495" s="8"/>
      <c r="F495" s="8"/>
      <c r="G495" s="7" t="str">
        <f t="shared" si="3"/>
        <v/>
      </c>
      <c r="H495" s="8"/>
    </row>
    <row r="496" spans="1:8" ht="12.75">
      <c r="A496" s="2">
        <v>493</v>
      </c>
      <c r="B496" s="7"/>
      <c r="C496" s="7"/>
      <c r="D496" s="7"/>
      <c r="E496" s="8"/>
      <c r="F496" s="8"/>
      <c r="G496" s="7" t="str">
        <f t="shared" si="3"/>
        <v/>
      </c>
      <c r="H496" s="8"/>
    </row>
    <row r="497" spans="1:8" ht="12.75">
      <c r="A497" s="2">
        <v>494</v>
      </c>
      <c r="B497" s="7"/>
      <c r="C497" s="7"/>
      <c r="D497" s="7"/>
      <c r="E497" s="8"/>
      <c r="F497" s="8"/>
      <c r="G497" s="7" t="str">
        <f t="shared" si="3"/>
        <v/>
      </c>
      <c r="H497" s="8"/>
    </row>
    <row r="498" spans="1:8" ht="12.75">
      <c r="A498" s="2">
        <v>495</v>
      </c>
      <c r="B498" s="7"/>
      <c r="C498" s="7"/>
      <c r="D498" s="7"/>
      <c r="E498" s="8"/>
      <c r="F498" s="8"/>
      <c r="G498" s="7" t="str">
        <f t="shared" si="3"/>
        <v/>
      </c>
      <c r="H498" s="8"/>
    </row>
    <row r="499" spans="1:8" ht="12.75">
      <c r="A499" s="2">
        <v>496</v>
      </c>
      <c r="B499" s="7"/>
      <c r="C499" s="7"/>
      <c r="D499" s="7"/>
      <c r="E499" s="8"/>
      <c r="F499" s="8"/>
      <c r="G499" s="7" t="str">
        <f t="shared" si="3"/>
        <v/>
      </c>
      <c r="H499" s="8"/>
    </row>
    <row r="500" spans="1:8" ht="12.75">
      <c r="A500" s="2">
        <v>497</v>
      </c>
      <c r="B500" s="7"/>
      <c r="C500" s="7"/>
      <c r="D500" s="7"/>
      <c r="E500" s="8"/>
      <c r="F500" s="8"/>
      <c r="G500" s="7" t="str">
        <f t="shared" si="3"/>
        <v/>
      </c>
      <c r="H500" s="8"/>
    </row>
    <row r="501" spans="1:8" ht="12.75">
      <c r="A501" s="2">
        <v>498</v>
      </c>
      <c r="B501" s="7"/>
      <c r="C501" s="7"/>
      <c r="D501" s="7"/>
      <c r="E501" s="8"/>
      <c r="F501" s="8"/>
      <c r="G501" s="7" t="str">
        <f t="shared" si="3"/>
        <v/>
      </c>
      <c r="H501" s="8"/>
    </row>
    <row r="502" spans="1:8" ht="12.75">
      <c r="A502" s="2">
        <v>499</v>
      </c>
      <c r="B502" s="7"/>
      <c r="C502" s="7"/>
      <c r="D502" s="7"/>
      <c r="E502" s="8"/>
      <c r="F502" s="8"/>
      <c r="G502" s="7" t="str">
        <f t="shared" si="3"/>
        <v/>
      </c>
      <c r="H502" s="8"/>
    </row>
    <row r="503" spans="1:8" ht="12.75">
      <c r="A503" s="2">
        <v>500</v>
      </c>
      <c r="B503" s="7"/>
      <c r="C503" s="7"/>
      <c r="D503" s="7"/>
      <c r="E503" s="8"/>
      <c r="F503" s="8"/>
      <c r="G503" s="7" t="str">
        <f t="shared" si="3"/>
        <v/>
      </c>
      <c r="H503" s="8"/>
    </row>
    <row r="504" spans="1:8" ht="12.75">
      <c r="A504" s="60" t="s">
        <v>227</v>
      </c>
      <c r="B504" s="61"/>
      <c r="C504" s="61"/>
      <c r="D504" s="61"/>
      <c r="E504" s="61"/>
      <c r="F504" s="61"/>
      <c r="G504" s="61"/>
      <c r="H504" s="61"/>
    </row>
    <row r="505" spans="1:8" ht="12.75">
      <c r="A505" s="11"/>
      <c r="E505" s="12"/>
      <c r="F505" s="12"/>
      <c r="H505" s="12"/>
    </row>
    <row r="506" spans="1:8" ht="12.75">
      <c r="A506" s="11"/>
      <c r="E506" s="12"/>
      <c r="F506" s="12"/>
      <c r="H506" s="12"/>
    </row>
    <row r="507" spans="1:8" ht="12.75">
      <c r="A507" s="11"/>
      <c r="E507" s="12"/>
      <c r="F507" s="12"/>
      <c r="H507" s="12"/>
    </row>
    <row r="508" spans="1:8" ht="12.75">
      <c r="A508" s="11"/>
      <c r="E508" s="12"/>
      <c r="F508" s="12"/>
      <c r="H508" s="12"/>
    </row>
    <row r="509" spans="1:8" ht="12.75">
      <c r="A509" s="11"/>
      <c r="E509" s="12"/>
      <c r="F509" s="12"/>
      <c r="H509" s="12"/>
    </row>
    <row r="510" spans="1:8" ht="12.75">
      <c r="A510" s="11"/>
      <c r="E510" s="12"/>
      <c r="F510" s="12"/>
      <c r="H510" s="12"/>
    </row>
    <row r="511" spans="1:8" ht="12.75">
      <c r="A511" s="11"/>
      <c r="E511" s="12"/>
      <c r="F511" s="12"/>
      <c r="H511" s="12"/>
    </row>
    <row r="512" spans="1:8" ht="12.75">
      <c r="A512" s="11"/>
      <c r="E512" s="12"/>
      <c r="F512" s="12"/>
      <c r="H512" s="12"/>
    </row>
    <row r="513" spans="1:8" ht="12.75">
      <c r="A513" s="11"/>
      <c r="E513" s="12"/>
      <c r="F513" s="12"/>
      <c r="H513" s="12"/>
    </row>
    <row r="514" spans="1:8" ht="12.75">
      <c r="A514" s="11"/>
      <c r="E514" s="12"/>
      <c r="F514" s="12"/>
      <c r="H514" s="12"/>
    </row>
    <row r="515" spans="1:8" ht="12.75">
      <c r="A515" s="11"/>
      <c r="E515" s="12"/>
      <c r="F515" s="12"/>
      <c r="H515" s="12"/>
    </row>
    <row r="516" spans="1:8" ht="12.75">
      <c r="A516" s="11"/>
      <c r="E516" s="12"/>
      <c r="F516" s="12"/>
      <c r="H516" s="12"/>
    </row>
    <row r="517" spans="1:8" ht="12.75">
      <c r="A517" s="11"/>
      <c r="E517" s="12"/>
      <c r="F517" s="12"/>
      <c r="H517" s="12"/>
    </row>
    <row r="518" spans="1:8" ht="12.75">
      <c r="A518" s="11"/>
      <c r="E518" s="12"/>
      <c r="F518" s="12"/>
      <c r="H518" s="12"/>
    </row>
    <row r="519" spans="1:8" ht="12.75">
      <c r="A519" s="11"/>
      <c r="E519" s="12"/>
      <c r="F519" s="12"/>
      <c r="H519" s="12"/>
    </row>
    <row r="520" spans="1:8" ht="12.75">
      <c r="A520" s="11"/>
      <c r="E520" s="12"/>
      <c r="F520" s="12"/>
      <c r="H520" s="12"/>
    </row>
    <row r="521" spans="1:8" ht="12.75">
      <c r="A521" s="11"/>
      <c r="E521" s="12"/>
      <c r="F521" s="12"/>
      <c r="H521" s="12"/>
    </row>
    <row r="522" spans="1:8" ht="12.75">
      <c r="A522" s="11"/>
      <c r="E522" s="12"/>
      <c r="F522" s="12"/>
      <c r="H522" s="12"/>
    </row>
    <row r="523" spans="1:8" ht="12.75">
      <c r="A523" s="11"/>
      <c r="E523" s="12"/>
      <c r="F523" s="12"/>
      <c r="H523" s="12"/>
    </row>
    <row r="524" spans="1:8" ht="12.75">
      <c r="A524" s="11"/>
      <c r="E524" s="12"/>
      <c r="F524" s="12"/>
      <c r="H524" s="12"/>
    </row>
    <row r="525" spans="1:8" ht="12.75">
      <c r="A525" s="11"/>
      <c r="E525" s="12"/>
      <c r="F525" s="12"/>
      <c r="H525" s="12"/>
    </row>
    <row r="526" spans="1:8" ht="12.75">
      <c r="A526" s="11"/>
      <c r="E526" s="12"/>
      <c r="F526" s="12"/>
      <c r="H526" s="12"/>
    </row>
    <row r="527" spans="1:8" ht="12.75">
      <c r="A527" s="11"/>
      <c r="E527" s="12"/>
      <c r="F527" s="12"/>
      <c r="H527" s="12"/>
    </row>
    <row r="528" spans="1:8" ht="12.75">
      <c r="A528" s="11"/>
      <c r="E528" s="12"/>
      <c r="F528" s="12"/>
      <c r="H528" s="12"/>
    </row>
    <row r="529" spans="1:8" ht="12.75">
      <c r="A529" s="11"/>
      <c r="E529" s="12"/>
      <c r="F529" s="12"/>
      <c r="H529" s="12"/>
    </row>
    <row r="530" spans="1:8" ht="12.75">
      <c r="A530" s="11"/>
      <c r="E530" s="12"/>
      <c r="F530" s="12"/>
      <c r="H530" s="12"/>
    </row>
    <row r="531" spans="1:8" ht="12.75">
      <c r="A531" s="11"/>
      <c r="E531" s="12"/>
      <c r="F531" s="12"/>
      <c r="H531" s="12"/>
    </row>
    <row r="532" spans="1:8" ht="12.75">
      <c r="A532" s="11"/>
      <c r="E532" s="12"/>
      <c r="F532" s="12"/>
      <c r="H532" s="12"/>
    </row>
    <row r="533" spans="1:8" ht="12.75">
      <c r="A533" s="11"/>
      <c r="E533" s="12"/>
      <c r="F533" s="12"/>
      <c r="H533" s="12"/>
    </row>
    <row r="534" spans="1:8" ht="12.75">
      <c r="A534" s="11"/>
      <c r="E534" s="12"/>
      <c r="F534" s="12"/>
      <c r="H534" s="12"/>
    </row>
    <row r="535" spans="1:8" ht="12.75">
      <c r="A535" s="11"/>
      <c r="E535" s="12"/>
      <c r="F535" s="12"/>
      <c r="H535" s="12"/>
    </row>
    <row r="536" spans="1:8" ht="12.75">
      <c r="A536" s="11"/>
      <c r="E536" s="12"/>
      <c r="F536" s="12"/>
      <c r="H536" s="12"/>
    </row>
    <row r="537" spans="1:8" ht="12.75">
      <c r="A537" s="11"/>
      <c r="E537" s="12"/>
      <c r="F537" s="12"/>
      <c r="H537" s="12"/>
    </row>
    <row r="538" spans="1:8" ht="12.75">
      <c r="A538" s="11"/>
      <c r="E538" s="12"/>
      <c r="F538" s="12"/>
      <c r="H538" s="12"/>
    </row>
    <row r="539" spans="1:8" ht="12.75">
      <c r="A539" s="11"/>
      <c r="E539" s="12"/>
      <c r="F539" s="12"/>
      <c r="H539" s="12"/>
    </row>
    <row r="540" spans="1:8" ht="12.75">
      <c r="A540" s="11"/>
      <c r="E540" s="12"/>
      <c r="F540" s="12"/>
      <c r="H540" s="12"/>
    </row>
    <row r="541" spans="1:8" ht="12.75">
      <c r="A541" s="11"/>
      <c r="E541" s="12"/>
      <c r="F541" s="12"/>
      <c r="H541" s="12"/>
    </row>
    <row r="542" spans="1:8" ht="12.75">
      <c r="A542" s="11"/>
      <c r="E542" s="12"/>
      <c r="F542" s="12"/>
      <c r="H542" s="12"/>
    </row>
    <row r="543" spans="1:8" ht="12.75">
      <c r="A543" s="11"/>
      <c r="E543" s="12"/>
      <c r="F543" s="12"/>
      <c r="H543" s="12"/>
    </row>
    <row r="544" spans="1:8" ht="12.75">
      <c r="A544" s="11"/>
      <c r="E544" s="12"/>
      <c r="F544" s="12"/>
      <c r="H544" s="12"/>
    </row>
    <row r="545" spans="1:8" ht="12.75">
      <c r="A545" s="11"/>
      <c r="E545" s="12"/>
      <c r="F545" s="12"/>
      <c r="H545" s="12"/>
    </row>
    <row r="546" spans="1:8" ht="12.75">
      <c r="A546" s="11"/>
      <c r="E546" s="12"/>
      <c r="F546" s="12"/>
      <c r="H546" s="12"/>
    </row>
    <row r="547" spans="1:8" ht="12.75">
      <c r="A547" s="11"/>
      <c r="E547" s="12"/>
      <c r="F547" s="12"/>
      <c r="H547" s="12"/>
    </row>
    <row r="548" spans="1:8" ht="12.75">
      <c r="A548" s="11"/>
      <c r="E548" s="12"/>
      <c r="F548" s="12"/>
      <c r="H548" s="12"/>
    </row>
    <row r="549" spans="1:8" ht="12.75">
      <c r="A549" s="11"/>
      <c r="E549" s="12"/>
      <c r="F549" s="12"/>
      <c r="H549" s="12"/>
    </row>
    <row r="550" spans="1:8" ht="12.75">
      <c r="A550" s="11"/>
      <c r="E550" s="12"/>
      <c r="F550" s="12"/>
      <c r="H550" s="12"/>
    </row>
    <row r="551" spans="1:8" ht="12.75">
      <c r="A551" s="11"/>
      <c r="E551" s="12"/>
      <c r="F551" s="12"/>
      <c r="H551" s="12"/>
    </row>
    <row r="552" spans="1:8" ht="12.75">
      <c r="A552" s="11"/>
      <c r="E552" s="12"/>
      <c r="F552" s="12"/>
      <c r="H552" s="12"/>
    </row>
    <row r="553" spans="1:8" ht="12.75">
      <c r="A553" s="11"/>
      <c r="E553" s="12"/>
      <c r="F553" s="12"/>
      <c r="H553" s="12"/>
    </row>
    <row r="554" spans="1:8" ht="12.75">
      <c r="A554" s="11"/>
      <c r="E554" s="12"/>
      <c r="F554" s="12"/>
      <c r="H554" s="12"/>
    </row>
    <row r="555" spans="1:8" ht="12.75">
      <c r="A555" s="11"/>
      <c r="E555" s="12"/>
      <c r="F555" s="12"/>
      <c r="H555" s="12"/>
    </row>
    <row r="556" spans="1:8" ht="12.75">
      <c r="A556" s="11"/>
      <c r="E556" s="12"/>
      <c r="F556" s="12"/>
      <c r="H556" s="12"/>
    </row>
    <row r="557" spans="1:8" ht="12.75">
      <c r="A557" s="11"/>
      <c r="E557" s="12"/>
      <c r="F557" s="12"/>
      <c r="H557" s="12"/>
    </row>
    <row r="558" spans="1:8" ht="12.75">
      <c r="A558" s="11"/>
      <c r="E558" s="12"/>
      <c r="F558" s="12"/>
      <c r="H558" s="12"/>
    </row>
    <row r="559" spans="1:8" ht="12.75">
      <c r="A559" s="11"/>
      <c r="E559" s="12"/>
      <c r="F559" s="12"/>
      <c r="H559" s="12"/>
    </row>
    <row r="560" spans="1:8" ht="12.75">
      <c r="A560" s="11"/>
      <c r="E560" s="12"/>
      <c r="F560" s="12"/>
      <c r="H560" s="12"/>
    </row>
    <row r="561" spans="1:8" ht="12.75">
      <c r="A561" s="11"/>
      <c r="E561" s="12"/>
      <c r="F561" s="12"/>
      <c r="H561" s="12"/>
    </row>
    <row r="562" spans="1:8" ht="12.75">
      <c r="A562" s="11"/>
      <c r="E562" s="12"/>
      <c r="F562" s="12"/>
      <c r="H562" s="12"/>
    </row>
    <row r="563" spans="1:8" ht="12.75">
      <c r="A563" s="11"/>
      <c r="E563" s="12"/>
      <c r="F563" s="12"/>
      <c r="H563" s="12"/>
    </row>
    <row r="564" spans="1:8" ht="12.75">
      <c r="A564" s="11"/>
      <c r="E564" s="12"/>
      <c r="F564" s="12"/>
      <c r="H564" s="12"/>
    </row>
    <row r="565" spans="1:8" ht="12.75">
      <c r="A565" s="11"/>
      <c r="E565" s="12"/>
      <c r="F565" s="12"/>
      <c r="H565" s="12"/>
    </row>
    <row r="566" spans="1:8" ht="12.75">
      <c r="A566" s="11"/>
      <c r="E566" s="12"/>
      <c r="F566" s="12"/>
      <c r="H566" s="12"/>
    </row>
    <row r="567" spans="1:8" ht="12.75">
      <c r="A567" s="11"/>
      <c r="E567" s="12"/>
      <c r="F567" s="12"/>
      <c r="H567" s="12"/>
    </row>
    <row r="568" spans="1:8" ht="12.75">
      <c r="A568" s="11"/>
      <c r="E568" s="12"/>
      <c r="F568" s="12"/>
      <c r="H568" s="12"/>
    </row>
    <row r="569" spans="1:8" ht="12.75">
      <c r="A569" s="11"/>
      <c r="E569" s="12"/>
      <c r="F569" s="12"/>
      <c r="H569" s="12"/>
    </row>
    <row r="570" spans="1:8" ht="12.75">
      <c r="A570" s="11"/>
      <c r="E570" s="12"/>
      <c r="F570" s="12"/>
      <c r="H570" s="12"/>
    </row>
    <row r="571" spans="1:8" ht="12.75">
      <c r="A571" s="11"/>
      <c r="E571" s="12"/>
      <c r="F571" s="12"/>
      <c r="H571" s="12"/>
    </row>
    <row r="572" spans="1:8" ht="12.75">
      <c r="A572" s="11"/>
      <c r="E572" s="12"/>
      <c r="F572" s="12"/>
      <c r="H572" s="12"/>
    </row>
    <row r="573" spans="1:8" ht="12.75">
      <c r="A573" s="11"/>
      <c r="E573" s="12"/>
      <c r="F573" s="12"/>
      <c r="H573" s="12"/>
    </row>
    <row r="574" spans="1:8" ht="12.75">
      <c r="A574" s="11"/>
      <c r="E574" s="12"/>
      <c r="F574" s="12"/>
      <c r="H574" s="12"/>
    </row>
    <row r="575" spans="1:8" ht="12.75">
      <c r="A575" s="11"/>
      <c r="E575" s="12"/>
      <c r="F575" s="12"/>
      <c r="H575" s="12"/>
    </row>
    <row r="576" spans="1:8" ht="12.75">
      <c r="A576" s="11"/>
      <c r="E576" s="12"/>
      <c r="F576" s="12"/>
      <c r="H576" s="12"/>
    </row>
    <row r="577" spans="1:8" ht="12.75">
      <c r="A577" s="11"/>
      <c r="E577" s="12"/>
      <c r="F577" s="12"/>
      <c r="H577" s="12"/>
    </row>
    <row r="578" spans="1:8" ht="12.75">
      <c r="A578" s="11"/>
      <c r="E578" s="12"/>
      <c r="F578" s="12"/>
      <c r="H578" s="12"/>
    </row>
    <row r="579" spans="1:8" ht="12.75">
      <c r="A579" s="11"/>
      <c r="E579" s="12"/>
      <c r="F579" s="12"/>
      <c r="H579" s="12"/>
    </row>
    <row r="580" spans="1:8" ht="12.75">
      <c r="A580" s="11"/>
      <c r="E580" s="12"/>
      <c r="F580" s="12"/>
      <c r="H580" s="12"/>
    </row>
    <row r="581" spans="1:8" ht="12.75">
      <c r="A581" s="11"/>
      <c r="E581" s="12"/>
      <c r="F581" s="12"/>
      <c r="H581" s="12"/>
    </row>
    <row r="582" spans="1:8" ht="12.75">
      <c r="A582" s="11"/>
      <c r="E582" s="12"/>
      <c r="F582" s="12"/>
      <c r="H582" s="12"/>
    </row>
    <row r="583" spans="1:8" ht="12.75">
      <c r="A583" s="11"/>
      <c r="E583" s="12"/>
      <c r="F583" s="12"/>
      <c r="H583" s="12"/>
    </row>
    <row r="584" spans="1:8" ht="12.75">
      <c r="A584" s="11"/>
      <c r="E584" s="12"/>
      <c r="F584" s="12"/>
      <c r="H584" s="12"/>
    </row>
    <row r="585" spans="1:8" ht="12.75">
      <c r="A585" s="11"/>
      <c r="E585" s="12"/>
      <c r="F585" s="12"/>
      <c r="H585" s="12"/>
    </row>
    <row r="586" spans="1:8" ht="12.75">
      <c r="A586" s="11"/>
      <c r="E586" s="12"/>
      <c r="F586" s="12"/>
      <c r="H586" s="12"/>
    </row>
    <row r="587" spans="1:8" ht="12.75">
      <c r="A587" s="11"/>
      <c r="E587" s="12"/>
      <c r="F587" s="12"/>
      <c r="H587" s="12"/>
    </row>
    <row r="588" spans="1:8" ht="12.75">
      <c r="A588" s="11"/>
      <c r="E588" s="12"/>
      <c r="F588" s="12"/>
      <c r="H588" s="12"/>
    </row>
    <row r="589" spans="1:8" ht="12.75">
      <c r="A589" s="11"/>
      <c r="E589" s="12"/>
      <c r="F589" s="12"/>
      <c r="H589" s="12"/>
    </row>
    <row r="590" spans="1:8" ht="12.75">
      <c r="A590" s="11"/>
      <c r="E590" s="12"/>
      <c r="F590" s="12"/>
      <c r="H590" s="12"/>
    </row>
    <row r="591" spans="1:8" ht="12.75">
      <c r="A591" s="11"/>
      <c r="E591" s="12"/>
      <c r="F591" s="12"/>
      <c r="H591" s="12"/>
    </row>
    <row r="592" spans="1:8" ht="12.75">
      <c r="A592" s="11"/>
      <c r="E592" s="12"/>
      <c r="F592" s="12"/>
      <c r="H592" s="12"/>
    </row>
    <row r="593" spans="1:8" ht="12.75">
      <c r="A593" s="11"/>
      <c r="E593" s="12"/>
      <c r="F593" s="12"/>
      <c r="H593" s="12"/>
    </row>
    <row r="594" spans="1:8" ht="12.75">
      <c r="A594" s="11"/>
      <c r="E594" s="12"/>
      <c r="F594" s="12"/>
      <c r="H594" s="12"/>
    </row>
    <row r="595" spans="1:8" ht="12.75">
      <c r="A595" s="11"/>
      <c r="E595" s="12"/>
      <c r="F595" s="12"/>
      <c r="H595" s="12"/>
    </row>
    <row r="596" spans="1:8" ht="12.75">
      <c r="A596" s="11"/>
      <c r="E596" s="12"/>
      <c r="F596" s="12"/>
      <c r="H596" s="12"/>
    </row>
    <row r="597" spans="1:8" ht="12.75">
      <c r="A597" s="11"/>
      <c r="E597" s="12"/>
      <c r="F597" s="12"/>
      <c r="H597" s="12"/>
    </row>
    <row r="598" spans="1:8" ht="12.75">
      <c r="A598" s="11"/>
      <c r="E598" s="12"/>
      <c r="F598" s="12"/>
      <c r="H598" s="12"/>
    </row>
    <row r="599" spans="1:8" ht="12.75">
      <c r="A599" s="11"/>
      <c r="E599" s="12"/>
      <c r="F599" s="12"/>
      <c r="H599" s="12"/>
    </row>
    <row r="600" spans="1:8" ht="12.75">
      <c r="A600" s="11"/>
      <c r="E600" s="12"/>
      <c r="F600" s="12"/>
      <c r="H600" s="12"/>
    </row>
    <row r="601" spans="1:8" ht="12.75">
      <c r="A601" s="11"/>
      <c r="E601" s="12"/>
      <c r="F601" s="12"/>
      <c r="H601" s="12"/>
    </row>
    <row r="602" spans="1:8" ht="12.75">
      <c r="A602" s="11"/>
      <c r="E602" s="12"/>
      <c r="F602" s="12"/>
      <c r="H602" s="12"/>
    </row>
    <row r="603" spans="1:8" ht="12.75">
      <c r="A603" s="11"/>
      <c r="E603" s="12"/>
      <c r="F603" s="12"/>
      <c r="H603" s="12"/>
    </row>
    <row r="604" spans="1:8" ht="12.75">
      <c r="A604" s="11"/>
      <c r="E604" s="12"/>
      <c r="F604" s="12"/>
      <c r="H604" s="12"/>
    </row>
    <row r="605" spans="1:8" ht="12.75">
      <c r="A605" s="11"/>
      <c r="E605" s="12"/>
      <c r="F605" s="12"/>
      <c r="H605" s="12"/>
    </row>
    <row r="606" spans="1:8" ht="12.75">
      <c r="A606" s="11"/>
      <c r="E606" s="12"/>
      <c r="F606" s="12"/>
      <c r="H606" s="12"/>
    </row>
    <row r="607" spans="1:8" ht="12.75">
      <c r="A607" s="11"/>
      <c r="E607" s="12"/>
      <c r="F607" s="12"/>
      <c r="H607" s="12"/>
    </row>
    <row r="608" spans="1:8" ht="12.75">
      <c r="A608" s="11"/>
      <c r="E608" s="12"/>
      <c r="F608" s="12"/>
      <c r="H608" s="12"/>
    </row>
    <row r="609" spans="1:8" ht="12.75">
      <c r="A609" s="11"/>
      <c r="E609" s="12"/>
      <c r="F609" s="12"/>
      <c r="H609" s="12"/>
    </row>
    <row r="610" spans="1:8" ht="12.75">
      <c r="A610" s="11"/>
      <c r="E610" s="12"/>
      <c r="F610" s="12"/>
      <c r="H610" s="12"/>
    </row>
    <row r="611" spans="1:8" ht="12.75">
      <c r="A611" s="11"/>
      <c r="E611" s="12"/>
      <c r="F611" s="12"/>
      <c r="H611" s="12"/>
    </row>
    <row r="612" spans="1:8" ht="12.75">
      <c r="A612" s="11"/>
      <c r="E612" s="12"/>
      <c r="F612" s="12"/>
      <c r="H612" s="12"/>
    </row>
    <row r="613" spans="1:8" ht="12.75">
      <c r="A613" s="11"/>
      <c r="E613" s="12"/>
      <c r="F613" s="12"/>
      <c r="H613" s="12"/>
    </row>
    <row r="614" spans="1:8" ht="12.75">
      <c r="A614" s="11"/>
      <c r="E614" s="12"/>
      <c r="F614" s="12"/>
      <c r="H614" s="12"/>
    </row>
    <row r="615" spans="1:8" ht="12.75">
      <c r="A615" s="11"/>
      <c r="E615" s="12"/>
      <c r="F615" s="12"/>
      <c r="H615" s="12"/>
    </row>
    <row r="616" spans="1:8" ht="12.75">
      <c r="A616" s="11"/>
      <c r="E616" s="12"/>
      <c r="F616" s="12"/>
      <c r="H616" s="12"/>
    </row>
    <row r="617" spans="1:8" ht="12.75">
      <c r="A617" s="11"/>
      <c r="E617" s="12"/>
      <c r="F617" s="12"/>
      <c r="H617" s="12"/>
    </row>
    <row r="618" spans="1:8" ht="12.75">
      <c r="A618" s="11"/>
      <c r="E618" s="12"/>
      <c r="F618" s="12"/>
      <c r="H618" s="12"/>
    </row>
    <row r="619" spans="1:8" ht="12.75">
      <c r="A619" s="11"/>
      <c r="E619" s="12"/>
      <c r="F619" s="12"/>
      <c r="H619" s="12"/>
    </row>
    <row r="620" spans="1:8" ht="12.75">
      <c r="A620" s="11"/>
      <c r="E620" s="12"/>
      <c r="F620" s="12"/>
      <c r="H620" s="12"/>
    </row>
    <row r="621" spans="1:8" ht="12.75">
      <c r="A621" s="11"/>
      <c r="E621" s="12"/>
      <c r="F621" s="12"/>
      <c r="H621" s="12"/>
    </row>
    <row r="622" spans="1:8" ht="12.75">
      <c r="A622" s="11"/>
      <c r="E622" s="12"/>
      <c r="F622" s="12"/>
      <c r="H622" s="12"/>
    </row>
    <row r="623" spans="1:8" ht="12.75">
      <c r="A623" s="11"/>
      <c r="E623" s="12"/>
      <c r="F623" s="12"/>
      <c r="H623" s="12"/>
    </row>
    <row r="624" spans="1:8" ht="12.75">
      <c r="A624" s="11"/>
      <c r="E624" s="12"/>
      <c r="F624" s="12"/>
      <c r="H624" s="12"/>
    </row>
    <row r="625" spans="1:8" ht="12.75">
      <c r="A625" s="11"/>
      <c r="E625" s="12"/>
      <c r="F625" s="12"/>
      <c r="H625" s="12"/>
    </row>
    <row r="626" spans="1:8" ht="12.75">
      <c r="A626" s="11"/>
      <c r="E626" s="12"/>
      <c r="F626" s="12"/>
      <c r="H626" s="12"/>
    </row>
    <row r="627" spans="1:8" ht="12.75">
      <c r="A627" s="11"/>
      <c r="E627" s="12"/>
      <c r="F627" s="12"/>
      <c r="H627" s="12"/>
    </row>
    <row r="628" spans="1:8" ht="12.75">
      <c r="A628" s="11"/>
      <c r="E628" s="12"/>
      <c r="F628" s="12"/>
      <c r="H628" s="12"/>
    </row>
    <row r="629" spans="1:8" ht="12.75">
      <c r="A629" s="11"/>
      <c r="E629" s="12"/>
      <c r="F629" s="12"/>
      <c r="H629" s="12"/>
    </row>
    <row r="630" spans="1:8" ht="12.75">
      <c r="A630" s="11"/>
      <c r="E630" s="12"/>
      <c r="F630" s="12"/>
      <c r="H630" s="12"/>
    </row>
    <row r="631" spans="1:8" ht="12.75">
      <c r="A631" s="11"/>
      <c r="E631" s="12"/>
      <c r="F631" s="12"/>
      <c r="H631" s="12"/>
    </row>
    <row r="632" spans="1:8" ht="12.75">
      <c r="A632" s="11"/>
      <c r="E632" s="12"/>
      <c r="F632" s="12"/>
      <c r="H632" s="12"/>
    </row>
    <row r="633" spans="1:8" ht="12.75">
      <c r="A633" s="11"/>
      <c r="E633" s="12"/>
      <c r="F633" s="12"/>
      <c r="H633" s="12"/>
    </row>
    <row r="634" spans="1:8" ht="12.75">
      <c r="A634" s="11"/>
      <c r="E634" s="12"/>
      <c r="F634" s="12"/>
      <c r="H634" s="12"/>
    </row>
    <row r="635" spans="1:8" ht="12.75">
      <c r="A635" s="11"/>
      <c r="E635" s="12"/>
      <c r="F635" s="12"/>
      <c r="H635" s="12"/>
    </row>
    <row r="636" spans="1:8" ht="12.75">
      <c r="A636" s="11"/>
      <c r="E636" s="12"/>
      <c r="F636" s="12"/>
      <c r="H636" s="12"/>
    </row>
    <row r="637" spans="1:8" ht="12.75">
      <c r="A637" s="11"/>
      <c r="E637" s="12"/>
      <c r="F637" s="12"/>
      <c r="H637" s="12"/>
    </row>
    <row r="638" spans="1:8" ht="12.75">
      <c r="A638" s="11"/>
      <c r="E638" s="12"/>
      <c r="F638" s="12"/>
      <c r="H638" s="12"/>
    </row>
    <row r="639" spans="1:8" ht="12.75">
      <c r="A639" s="11"/>
      <c r="E639" s="12"/>
      <c r="F639" s="12"/>
      <c r="H639" s="12"/>
    </row>
    <row r="640" spans="1:8" ht="12.75">
      <c r="A640" s="11"/>
      <c r="E640" s="12"/>
      <c r="F640" s="12"/>
      <c r="H640" s="12"/>
    </row>
    <row r="641" spans="1:8" ht="12.75">
      <c r="A641" s="11"/>
      <c r="E641" s="12"/>
      <c r="F641" s="12"/>
      <c r="H641" s="12"/>
    </row>
    <row r="642" spans="1:8" ht="12.75">
      <c r="A642" s="11"/>
      <c r="E642" s="12"/>
      <c r="F642" s="12"/>
      <c r="H642" s="12"/>
    </row>
    <row r="643" spans="1:8" ht="12.75">
      <c r="A643" s="11"/>
      <c r="E643" s="12"/>
      <c r="F643" s="12"/>
      <c r="H643" s="12"/>
    </row>
    <row r="644" spans="1:8" ht="12.75">
      <c r="A644" s="11"/>
      <c r="E644" s="12"/>
      <c r="F644" s="12"/>
      <c r="H644" s="12"/>
    </row>
    <row r="645" spans="1:8" ht="12.75">
      <c r="A645" s="11"/>
      <c r="E645" s="12"/>
      <c r="F645" s="12"/>
      <c r="H645" s="12"/>
    </row>
    <row r="646" spans="1:8" ht="12.75">
      <c r="A646" s="11"/>
      <c r="E646" s="12"/>
      <c r="F646" s="12"/>
      <c r="H646" s="12"/>
    </row>
    <row r="647" spans="1:8" ht="12.75">
      <c r="A647" s="11"/>
      <c r="E647" s="12"/>
      <c r="F647" s="12"/>
      <c r="H647" s="12"/>
    </row>
    <row r="648" spans="1:8" ht="12.75">
      <c r="A648" s="11"/>
      <c r="E648" s="12"/>
      <c r="F648" s="12"/>
      <c r="H648" s="12"/>
    </row>
    <row r="649" spans="1:8" ht="12.75">
      <c r="A649" s="11"/>
      <c r="E649" s="12"/>
      <c r="F649" s="12"/>
      <c r="H649" s="12"/>
    </row>
    <row r="650" spans="1:8" ht="12.75">
      <c r="A650" s="11"/>
      <c r="E650" s="12"/>
      <c r="F650" s="12"/>
      <c r="H650" s="12"/>
    </row>
    <row r="651" spans="1:8" ht="12.75">
      <c r="A651" s="11"/>
      <c r="E651" s="12"/>
      <c r="F651" s="12"/>
      <c r="H651" s="12"/>
    </row>
    <row r="652" spans="1:8" ht="12.75">
      <c r="A652" s="11"/>
      <c r="E652" s="12"/>
      <c r="F652" s="12"/>
      <c r="H652" s="12"/>
    </row>
    <row r="653" spans="1:8" ht="12.75">
      <c r="A653" s="11"/>
      <c r="E653" s="12"/>
      <c r="F653" s="12"/>
      <c r="H653" s="12"/>
    </row>
    <row r="654" spans="1:8" ht="12.75">
      <c r="A654" s="11"/>
      <c r="E654" s="12"/>
      <c r="F654" s="12"/>
      <c r="H654" s="12"/>
    </row>
    <row r="655" spans="1:8" ht="12.75">
      <c r="A655" s="11"/>
      <c r="E655" s="12"/>
      <c r="F655" s="12"/>
      <c r="H655" s="12"/>
    </row>
    <row r="656" spans="1:8" ht="12.75">
      <c r="A656" s="11"/>
      <c r="E656" s="12"/>
      <c r="F656" s="12"/>
      <c r="H656" s="12"/>
    </row>
    <row r="657" spans="1:8" ht="12.75">
      <c r="A657" s="11"/>
      <c r="E657" s="12"/>
      <c r="F657" s="12"/>
      <c r="H657" s="12"/>
    </row>
    <row r="658" spans="1:8" ht="12.75">
      <c r="A658" s="11"/>
      <c r="E658" s="12"/>
      <c r="F658" s="12"/>
      <c r="H658" s="12"/>
    </row>
    <row r="659" spans="1:8" ht="12.75">
      <c r="A659" s="11"/>
      <c r="E659" s="12"/>
      <c r="F659" s="12"/>
      <c r="H659" s="12"/>
    </row>
    <row r="660" spans="1:8" ht="12.75">
      <c r="A660" s="11"/>
      <c r="E660" s="12"/>
      <c r="F660" s="12"/>
      <c r="H660" s="12"/>
    </row>
    <row r="661" spans="1:8" ht="12.75">
      <c r="A661" s="11"/>
      <c r="E661" s="12"/>
      <c r="F661" s="12"/>
      <c r="H661" s="12"/>
    </row>
    <row r="662" spans="1:8" ht="12.75">
      <c r="A662" s="11"/>
      <c r="E662" s="12"/>
      <c r="F662" s="12"/>
      <c r="H662" s="12"/>
    </row>
    <row r="663" spans="1:8" ht="12.75">
      <c r="A663" s="11"/>
      <c r="E663" s="12"/>
      <c r="F663" s="12"/>
      <c r="H663" s="12"/>
    </row>
    <row r="664" spans="1:8" ht="12.75">
      <c r="A664" s="11"/>
      <c r="E664" s="12"/>
      <c r="F664" s="12"/>
      <c r="H664" s="12"/>
    </row>
    <row r="665" spans="1:8" ht="12.75">
      <c r="A665" s="11"/>
      <c r="E665" s="12"/>
      <c r="F665" s="12"/>
      <c r="H665" s="12"/>
    </row>
    <row r="666" spans="1:8" ht="12.75">
      <c r="A666" s="11"/>
      <c r="E666" s="12"/>
      <c r="F666" s="12"/>
      <c r="H666" s="12"/>
    </row>
    <row r="667" spans="1:8" ht="12.75">
      <c r="A667" s="11"/>
      <c r="E667" s="12"/>
      <c r="F667" s="12"/>
      <c r="H667" s="12"/>
    </row>
    <row r="668" spans="1:8" ht="12.75">
      <c r="A668" s="11"/>
      <c r="E668" s="12"/>
      <c r="F668" s="12"/>
      <c r="H668" s="12"/>
    </row>
    <row r="669" spans="1:8" ht="12.75">
      <c r="A669" s="11"/>
      <c r="E669" s="12"/>
      <c r="F669" s="12"/>
      <c r="H669" s="12"/>
    </row>
    <row r="670" spans="1:8" ht="12.75">
      <c r="A670" s="11"/>
      <c r="E670" s="12"/>
      <c r="F670" s="12"/>
      <c r="H670" s="12"/>
    </row>
    <row r="671" spans="1:8" ht="12.75">
      <c r="A671" s="11"/>
      <c r="E671" s="12"/>
      <c r="F671" s="12"/>
      <c r="H671" s="12"/>
    </row>
    <row r="672" spans="1:8" ht="12.75">
      <c r="A672" s="11"/>
      <c r="E672" s="12"/>
      <c r="F672" s="12"/>
      <c r="H672" s="12"/>
    </row>
    <row r="673" spans="1:8" ht="12.75">
      <c r="A673" s="11"/>
      <c r="E673" s="12"/>
      <c r="F673" s="12"/>
      <c r="H673" s="12"/>
    </row>
    <row r="674" spans="1:8" ht="12.75">
      <c r="A674" s="11"/>
      <c r="E674" s="12"/>
      <c r="F674" s="12"/>
      <c r="H674" s="12"/>
    </row>
    <row r="675" spans="1:8" ht="12.75">
      <c r="A675" s="11"/>
      <c r="E675" s="12"/>
      <c r="F675" s="12"/>
      <c r="H675" s="12"/>
    </row>
    <row r="676" spans="1:8" ht="12.75">
      <c r="A676" s="11"/>
      <c r="E676" s="12"/>
      <c r="F676" s="12"/>
      <c r="H676" s="12"/>
    </row>
    <row r="677" spans="1:8" ht="12.75">
      <c r="A677" s="11"/>
      <c r="E677" s="12"/>
      <c r="F677" s="12"/>
      <c r="H677" s="12"/>
    </row>
    <row r="678" spans="1:8" ht="12.75">
      <c r="A678" s="11"/>
      <c r="E678" s="12"/>
      <c r="F678" s="12"/>
      <c r="H678" s="12"/>
    </row>
    <row r="679" spans="1:8" ht="12.75">
      <c r="A679" s="11"/>
      <c r="E679" s="12"/>
      <c r="F679" s="12"/>
      <c r="H679" s="12"/>
    </row>
    <row r="680" spans="1:8" ht="12.75">
      <c r="A680" s="11"/>
      <c r="E680" s="12"/>
      <c r="F680" s="12"/>
      <c r="H680" s="12"/>
    </row>
    <row r="681" spans="1:8" ht="12.75">
      <c r="A681" s="11"/>
      <c r="E681" s="12"/>
      <c r="F681" s="12"/>
      <c r="H681" s="12"/>
    </row>
    <row r="682" spans="1:8" ht="12.75">
      <c r="A682" s="11"/>
      <c r="E682" s="12"/>
      <c r="F682" s="12"/>
      <c r="H682" s="12"/>
    </row>
    <row r="683" spans="1:8" ht="12.75">
      <c r="A683" s="11"/>
      <c r="E683" s="12"/>
      <c r="F683" s="12"/>
      <c r="H683" s="12"/>
    </row>
    <row r="684" spans="1:8" ht="12.75">
      <c r="A684" s="11"/>
      <c r="E684" s="12"/>
      <c r="F684" s="12"/>
      <c r="H684" s="12"/>
    </row>
    <row r="685" spans="1:8" ht="12.75">
      <c r="A685" s="11"/>
      <c r="E685" s="12"/>
      <c r="F685" s="12"/>
      <c r="H685" s="12"/>
    </row>
    <row r="686" spans="1:8" ht="12.75">
      <c r="A686" s="11"/>
      <c r="E686" s="12"/>
      <c r="F686" s="12"/>
      <c r="H686" s="12"/>
    </row>
    <row r="687" spans="1:8" ht="12.75">
      <c r="A687" s="11"/>
      <c r="E687" s="12"/>
      <c r="F687" s="12"/>
      <c r="H687" s="12"/>
    </row>
    <row r="688" spans="1:8" ht="12.75">
      <c r="A688" s="11"/>
      <c r="E688" s="12"/>
      <c r="F688" s="12"/>
      <c r="H688" s="12"/>
    </row>
    <row r="689" spans="1:8" ht="12.75">
      <c r="A689" s="11"/>
      <c r="E689" s="12"/>
      <c r="F689" s="12"/>
      <c r="H689" s="12"/>
    </row>
    <row r="690" spans="1:8" ht="12.75">
      <c r="A690" s="11"/>
      <c r="E690" s="12"/>
      <c r="F690" s="12"/>
      <c r="H690" s="12"/>
    </row>
    <row r="691" spans="1:8" ht="12.75">
      <c r="A691" s="11"/>
      <c r="E691" s="12"/>
      <c r="F691" s="12"/>
      <c r="H691" s="12"/>
    </row>
    <row r="692" spans="1:8" ht="12.75">
      <c r="A692" s="11"/>
      <c r="E692" s="12"/>
      <c r="F692" s="12"/>
      <c r="H692" s="12"/>
    </row>
    <row r="693" spans="1:8" ht="12.75">
      <c r="A693" s="11"/>
      <c r="E693" s="12"/>
      <c r="F693" s="12"/>
      <c r="H693" s="12"/>
    </row>
    <row r="694" spans="1:8" ht="12.75">
      <c r="A694" s="11"/>
      <c r="E694" s="12"/>
      <c r="F694" s="12"/>
      <c r="H694" s="12"/>
    </row>
    <row r="695" spans="1:8" ht="12.75">
      <c r="A695" s="11"/>
      <c r="E695" s="12"/>
      <c r="F695" s="12"/>
      <c r="H695" s="12"/>
    </row>
    <row r="696" spans="1:8" ht="12.75">
      <c r="A696" s="11"/>
      <c r="E696" s="12"/>
      <c r="F696" s="12"/>
      <c r="H696" s="12"/>
    </row>
    <row r="697" spans="1:8" ht="12.75">
      <c r="A697" s="11"/>
      <c r="E697" s="12"/>
      <c r="F697" s="12"/>
      <c r="H697" s="12"/>
    </row>
    <row r="698" spans="1:8" ht="12.75">
      <c r="A698" s="11"/>
      <c r="E698" s="12"/>
      <c r="F698" s="12"/>
      <c r="H698" s="12"/>
    </row>
    <row r="699" spans="1:8" ht="12.75">
      <c r="A699" s="11"/>
      <c r="E699" s="12"/>
      <c r="F699" s="12"/>
      <c r="H699" s="12"/>
    </row>
    <row r="700" spans="1:8" ht="12.75">
      <c r="A700" s="11"/>
      <c r="E700" s="12"/>
      <c r="F700" s="12"/>
      <c r="H700" s="12"/>
    </row>
    <row r="701" spans="1:8" ht="12.75">
      <c r="A701" s="11"/>
      <c r="E701" s="12"/>
      <c r="F701" s="12"/>
      <c r="H701" s="12"/>
    </row>
    <row r="702" spans="1:8" ht="12.75">
      <c r="A702" s="11"/>
      <c r="E702" s="12"/>
      <c r="F702" s="12"/>
      <c r="H702" s="12"/>
    </row>
    <row r="703" spans="1:8" ht="12.75">
      <c r="A703" s="11"/>
      <c r="E703" s="12"/>
      <c r="F703" s="12"/>
      <c r="H703" s="12"/>
    </row>
    <row r="704" spans="1:8" ht="12.75">
      <c r="A704" s="11"/>
      <c r="E704" s="12"/>
      <c r="F704" s="12"/>
      <c r="H704" s="12"/>
    </row>
    <row r="705" spans="1:8" ht="12.75">
      <c r="A705" s="11"/>
      <c r="E705" s="12"/>
      <c r="F705" s="12"/>
      <c r="H705" s="12"/>
    </row>
    <row r="706" spans="1:8" ht="12.75">
      <c r="A706" s="11"/>
      <c r="E706" s="12"/>
      <c r="F706" s="12"/>
      <c r="H706" s="12"/>
    </row>
    <row r="707" spans="1:8" ht="12.75">
      <c r="A707" s="11"/>
      <c r="E707" s="12"/>
      <c r="F707" s="12"/>
      <c r="H707" s="12"/>
    </row>
    <row r="708" spans="1:8" ht="12.75">
      <c r="A708" s="11"/>
      <c r="E708" s="12"/>
      <c r="F708" s="12"/>
      <c r="H708" s="12"/>
    </row>
    <row r="709" spans="1:8" ht="12.75">
      <c r="A709" s="11"/>
      <c r="E709" s="12"/>
      <c r="F709" s="12"/>
      <c r="H709" s="12"/>
    </row>
    <row r="710" spans="1:8" ht="12.75">
      <c r="A710" s="11"/>
      <c r="E710" s="12"/>
      <c r="F710" s="12"/>
      <c r="H710" s="12"/>
    </row>
    <row r="711" spans="1:8" ht="12.75">
      <c r="A711" s="11"/>
      <c r="E711" s="12"/>
      <c r="F711" s="12"/>
      <c r="H711" s="12"/>
    </row>
    <row r="712" spans="1:8" ht="12.75">
      <c r="A712" s="11"/>
      <c r="E712" s="12"/>
      <c r="F712" s="12"/>
      <c r="H712" s="12"/>
    </row>
    <row r="713" spans="1:8" ht="12.75">
      <c r="A713" s="11"/>
      <c r="E713" s="12"/>
      <c r="F713" s="12"/>
      <c r="H713" s="12"/>
    </row>
    <row r="714" spans="1:8" ht="12.75">
      <c r="A714" s="11"/>
      <c r="E714" s="12"/>
      <c r="F714" s="12"/>
      <c r="H714" s="12"/>
    </row>
    <row r="715" spans="1:8" ht="12.75">
      <c r="A715" s="11"/>
      <c r="E715" s="12"/>
      <c r="F715" s="12"/>
      <c r="H715" s="12"/>
    </row>
    <row r="716" spans="1:8" ht="12.75">
      <c r="A716" s="11"/>
      <c r="E716" s="12"/>
      <c r="F716" s="12"/>
      <c r="H716" s="12"/>
    </row>
    <row r="717" spans="1:8" ht="12.75">
      <c r="A717" s="11"/>
      <c r="E717" s="12"/>
      <c r="F717" s="12"/>
      <c r="H717" s="12"/>
    </row>
    <row r="718" spans="1:8" ht="12.75">
      <c r="A718" s="11"/>
      <c r="E718" s="12"/>
      <c r="F718" s="12"/>
      <c r="H718" s="12"/>
    </row>
    <row r="719" spans="1:8" ht="12.75">
      <c r="A719" s="11"/>
      <c r="E719" s="12"/>
      <c r="F719" s="12"/>
      <c r="H719" s="12"/>
    </row>
    <row r="720" spans="1:8" ht="12.75">
      <c r="A720" s="11"/>
      <c r="E720" s="12"/>
      <c r="F720" s="12"/>
      <c r="H720" s="12"/>
    </row>
    <row r="721" spans="1:8" ht="12.75">
      <c r="A721" s="11"/>
      <c r="E721" s="12"/>
      <c r="F721" s="12"/>
      <c r="H721" s="12"/>
    </row>
    <row r="722" spans="1:8" ht="12.75">
      <c r="A722" s="11"/>
      <c r="E722" s="12"/>
      <c r="F722" s="12"/>
      <c r="H722" s="12"/>
    </row>
    <row r="723" spans="1:8" ht="12.75">
      <c r="A723" s="11"/>
      <c r="E723" s="12"/>
      <c r="F723" s="12"/>
      <c r="H723" s="12"/>
    </row>
    <row r="724" spans="1:8" ht="12.75">
      <c r="A724" s="11"/>
      <c r="E724" s="12"/>
      <c r="F724" s="12"/>
      <c r="H724" s="12"/>
    </row>
    <row r="725" spans="1:8" ht="12.75">
      <c r="A725" s="11"/>
      <c r="E725" s="12"/>
      <c r="F725" s="12"/>
      <c r="H725" s="12"/>
    </row>
    <row r="726" spans="1:8" ht="12.75">
      <c r="A726" s="11"/>
      <c r="E726" s="12"/>
      <c r="F726" s="12"/>
      <c r="H726" s="12"/>
    </row>
    <row r="727" spans="1:8" ht="12.75">
      <c r="A727" s="11"/>
      <c r="E727" s="12"/>
      <c r="F727" s="12"/>
      <c r="H727" s="12"/>
    </row>
    <row r="728" spans="1:8" ht="12.75">
      <c r="A728" s="11"/>
      <c r="E728" s="12"/>
      <c r="F728" s="12"/>
      <c r="H728" s="12"/>
    </row>
    <row r="729" spans="1:8" ht="12.75">
      <c r="A729" s="11"/>
      <c r="E729" s="12"/>
      <c r="F729" s="12"/>
      <c r="H729" s="12"/>
    </row>
    <row r="730" spans="1:8" ht="12.75">
      <c r="A730" s="11"/>
      <c r="E730" s="12"/>
      <c r="F730" s="12"/>
      <c r="H730" s="12"/>
    </row>
    <row r="731" spans="1:8" ht="12.75">
      <c r="A731" s="11"/>
      <c r="E731" s="12"/>
      <c r="F731" s="12"/>
      <c r="H731" s="12"/>
    </row>
    <row r="732" spans="1:8" ht="12.75">
      <c r="A732" s="11"/>
      <c r="E732" s="12"/>
      <c r="F732" s="12"/>
      <c r="H732" s="12"/>
    </row>
    <row r="733" spans="1:8" ht="12.75">
      <c r="A733" s="11"/>
      <c r="E733" s="12"/>
      <c r="F733" s="12"/>
      <c r="H733" s="12"/>
    </row>
    <row r="734" spans="1:8" ht="12.75">
      <c r="A734" s="11"/>
      <c r="E734" s="12"/>
      <c r="F734" s="12"/>
      <c r="H734" s="12"/>
    </row>
    <row r="735" spans="1:8" ht="12.75">
      <c r="A735" s="11"/>
      <c r="E735" s="12"/>
      <c r="F735" s="12"/>
      <c r="H735" s="12"/>
    </row>
    <row r="736" spans="1:8" ht="12.75">
      <c r="A736" s="11"/>
      <c r="E736" s="12"/>
      <c r="F736" s="12"/>
      <c r="H736" s="12"/>
    </row>
    <row r="737" spans="1:8" ht="12.75">
      <c r="A737" s="11"/>
      <c r="E737" s="12"/>
      <c r="F737" s="12"/>
      <c r="H737" s="12"/>
    </row>
    <row r="738" spans="1:8" ht="12.75">
      <c r="A738" s="11"/>
      <c r="E738" s="12"/>
      <c r="F738" s="12"/>
      <c r="H738" s="12"/>
    </row>
    <row r="739" spans="1:8" ht="12.75">
      <c r="A739" s="11"/>
      <c r="E739" s="12"/>
      <c r="F739" s="12"/>
      <c r="H739" s="12"/>
    </row>
    <row r="740" spans="1:8" ht="12.75">
      <c r="A740" s="11"/>
      <c r="E740" s="12"/>
      <c r="F740" s="12"/>
      <c r="H740" s="12"/>
    </row>
    <row r="741" spans="1:8" ht="12.75">
      <c r="A741" s="11"/>
      <c r="E741" s="12"/>
      <c r="F741" s="12"/>
      <c r="H741" s="12"/>
    </row>
    <row r="742" spans="1:8" ht="12.75">
      <c r="A742" s="11"/>
      <c r="E742" s="12"/>
      <c r="F742" s="12"/>
      <c r="H742" s="12"/>
    </row>
    <row r="743" spans="1:8" ht="12.75">
      <c r="A743" s="11"/>
      <c r="E743" s="12"/>
      <c r="F743" s="12"/>
      <c r="H743" s="12"/>
    </row>
    <row r="744" spans="1:8" ht="12.75">
      <c r="A744" s="11"/>
      <c r="E744" s="12"/>
      <c r="F744" s="12"/>
      <c r="H744" s="12"/>
    </row>
    <row r="745" spans="1:8" ht="12.75">
      <c r="A745" s="11"/>
      <c r="E745" s="12"/>
      <c r="F745" s="12"/>
      <c r="H745" s="12"/>
    </row>
    <row r="746" spans="1:8" ht="12.75">
      <c r="A746" s="11"/>
      <c r="E746" s="12"/>
      <c r="F746" s="12"/>
      <c r="H746" s="12"/>
    </row>
    <row r="747" spans="1:8" ht="12.75">
      <c r="A747" s="11"/>
      <c r="E747" s="12"/>
      <c r="F747" s="12"/>
      <c r="H747" s="12"/>
    </row>
    <row r="748" spans="1:8" ht="12.75">
      <c r="A748" s="11"/>
      <c r="E748" s="12"/>
      <c r="F748" s="12"/>
      <c r="H748" s="12"/>
    </row>
    <row r="749" spans="1:8" ht="12.75">
      <c r="A749" s="11"/>
      <c r="E749" s="12"/>
      <c r="F749" s="12"/>
      <c r="H749" s="12"/>
    </row>
    <row r="750" spans="1:8" ht="12.75">
      <c r="A750" s="11"/>
      <c r="E750" s="12"/>
      <c r="F750" s="12"/>
      <c r="H750" s="12"/>
    </row>
    <row r="751" spans="1:8" ht="12.75">
      <c r="A751" s="11"/>
      <c r="E751" s="12"/>
      <c r="F751" s="12"/>
      <c r="H751" s="12"/>
    </row>
    <row r="752" spans="1:8" ht="12.75">
      <c r="A752" s="11"/>
      <c r="E752" s="12"/>
      <c r="F752" s="12"/>
      <c r="H752" s="12"/>
    </row>
    <row r="753" spans="1:8" ht="12.75">
      <c r="A753" s="11"/>
      <c r="E753" s="12"/>
      <c r="F753" s="12"/>
      <c r="H753" s="12"/>
    </row>
    <row r="754" spans="1:8" ht="12.75">
      <c r="A754" s="11"/>
      <c r="E754" s="12"/>
      <c r="F754" s="12"/>
      <c r="H754" s="12"/>
    </row>
    <row r="755" spans="1:8" ht="12.75">
      <c r="A755" s="11"/>
      <c r="E755" s="12"/>
      <c r="F755" s="12"/>
      <c r="H755" s="12"/>
    </row>
    <row r="756" spans="1:8" ht="12.75">
      <c r="A756" s="11"/>
      <c r="E756" s="12"/>
      <c r="F756" s="12"/>
      <c r="H756" s="12"/>
    </row>
    <row r="757" spans="1:8" ht="12.75">
      <c r="A757" s="11"/>
      <c r="E757" s="12"/>
      <c r="F757" s="12"/>
      <c r="H757" s="12"/>
    </row>
    <row r="758" spans="1:8" ht="12.75">
      <c r="A758" s="11"/>
      <c r="E758" s="12"/>
      <c r="F758" s="12"/>
      <c r="H758" s="12"/>
    </row>
    <row r="759" spans="1:8" ht="12.75">
      <c r="A759" s="11"/>
      <c r="E759" s="12"/>
      <c r="F759" s="12"/>
      <c r="H759" s="12"/>
    </row>
    <row r="760" spans="1:8" ht="12.75">
      <c r="A760" s="11"/>
      <c r="E760" s="12"/>
      <c r="F760" s="12"/>
      <c r="H760" s="12"/>
    </row>
    <row r="761" spans="1:8" ht="12.75">
      <c r="A761" s="11"/>
      <c r="E761" s="12"/>
      <c r="F761" s="12"/>
      <c r="H761" s="12"/>
    </row>
    <row r="762" spans="1:8" ht="12.75">
      <c r="A762" s="11"/>
      <c r="E762" s="12"/>
      <c r="F762" s="12"/>
      <c r="H762" s="12"/>
    </row>
    <row r="763" spans="1:8" ht="12.75">
      <c r="A763" s="11"/>
      <c r="E763" s="12"/>
      <c r="F763" s="12"/>
      <c r="H763" s="12"/>
    </row>
    <row r="764" spans="1:8" ht="12.75">
      <c r="A764" s="11"/>
      <c r="E764" s="12"/>
      <c r="F764" s="12"/>
      <c r="H764" s="12"/>
    </row>
    <row r="765" spans="1:8" ht="12.75">
      <c r="A765" s="11"/>
      <c r="E765" s="12"/>
      <c r="F765" s="12"/>
      <c r="H765" s="12"/>
    </row>
    <row r="766" spans="1:8" ht="12.75">
      <c r="A766" s="11"/>
      <c r="E766" s="12"/>
      <c r="F766" s="12"/>
      <c r="H766" s="12"/>
    </row>
    <row r="767" spans="1:8" ht="12.75">
      <c r="A767" s="11"/>
      <c r="E767" s="12"/>
      <c r="F767" s="12"/>
      <c r="H767" s="12"/>
    </row>
    <row r="768" spans="1:8" ht="12.75">
      <c r="A768" s="11"/>
      <c r="E768" s="12"/>
      <c r="F768" s="12"/>
      <c r="H768" s="12"/>
    </row>
    <row r="769" spans="1:8" ht="12.75">
      <c r="A769" s="11"/>
      <c r="E769" s="12"/>
      <c r="F769" s="12"/>
      <c r="H769" s="12"/>
    </row>
    <row r="770" spans="1:8" ht="12.75">
      <c r="A770" s="11"/>
      <c r="E770" s="12"/>
      <c r="F770" s="12"/>
      <c r="H770" s="12"/>
    </row>
    <row r="771" spans="1:8" ht="12.75">
      <c r="A771" s="11"/>
      <c r="E771" s="12"/>
      <c r="F771" s="12"/>
      <c r="H771" s="12"/>
    </row>
    <row r="772" spans="1:8" ht="12.75">
      <c r="A772" s="11"/>
      <c r="E772" s="12"/>
      <c r="F772" s="12"/>
      <c r="H772" s="12"/>
    </row>
    <row r="773" spans="1:8" ht="12.75">
      <c r="A773" s="11"/>
      <c r="E773" s="12"/>
      <c r="F773" s="12"/>
      <c r="H773" s="12"/>
    </row>
    <row r="774" spans="1:8" ht="12.75">
      <c r="A774" s="11"/>
      <c r="E774" s="12"/>
      <c r="F774" s="12"/>
      <c r="H774" s="12"/>
    </row>
    <row r="775" spans="1:8" ht="12.75">
      <c r="A775" s="11"/>
      <c r="E775" s="12"/>
      <c r="F775" s="12"/>
      <c r="H775" s="12"/>
    </row>
    <row r="776" spans="1:8" ht="12.75">
      <c r="A776" s="11"/>
      <c r="E776" s="12"/>
      <c r="F776" s="12"/>
      <c r="H776" s="12"/>
    </row>
    <row r="777" spans="1:8" ht="12.75">
      <c r="A777" s="11"/>
      <c r="E777" s="12"/>
      <c r="F777" s="12"/>
      <c r="H777" s="12"/>
    </row>
    <row r="778" spans="1:8" ht="12.75">
      <c r="A778" s="11"/>
      <c r="E778" s="12"/>
      <c r="F778" s="12"/>
      <c r="H778" s="12"/>
    </row>
    <row r="779" spans="1:8" ht="12.75">
      <c r="A779" s="11"/>
      <c r="E779" s="12"/>
      <c r="F779" s="12"/>
      <c r="H779" s="12"/>
    </row>
    <row r="780" spans="1:8" ht="12.75">
      <c r="A780" s="11"/>
      <c r="E780" s="12"/>
      <c r="F780" s="12"/>
      <c r="H780" s="12"/>
    </row>
    <row r="781" spans="1:8" ht="12.75">
      <c r="A781" s="11"/>
      <c r="E781" s="12"/>
      <c r="F781" s="12"/>
      <c r="H781" s="12"/>
    </row>
    <row r="782" spans="1:8" ht="12.75">
      <c r="A782" s="11"/>
      <c r="E782" s="12"/>
      <c r="F782" s="12"/>
      <c r="H782" s="12"/>
    </row>
    <row r="783" spans="1:8" ht="12.75">
      <c r="A783" s="11"/>
      <c r="E783" s="12"/>
      <c r="F783" s="12"/>
      <c r="H783" s="12"/>
    </row>
    <row r="784" spans="1:8" ht="12.75">
      <c r="A784" s="11"/>
      <c r="E784" s="12"/>
      <c r="F784" s="12"/>
      <c r="H784" s="12"/>
    </row>
    <row r="785" spans="1:8" ht="12.75">
      <c r="A785" s="11"/>
      <c r="E785" s="12"/>
      <c r="F785" s="12"/>
      <c r="H785" s="12"/>
    </row>
    <row r="786" spans="1:8" ht="12.75">
      <c r="A786" s="11"/>
      <c r="E786" s="12"/>
      <c r="F786" s="12"/>
      <c r="H786" s="12"/>
    </row>
    <row r="787" spans="1:8" ht="12.75">
      <c r="A787" s="11"/>
      <c r="E787" s="12"/>
      <c r="F787" s="12"/>
      <c r="H787" s="12"/>
    </row>
    <row r="788" spans="1:8" ht="12.75">
      <c r="A788" s="11"/>
      <c r="E788" s="12"/>
      <c r="F788" s="12"/>
      <c r="H788" s="12"/>
    </row>
    <row r="789" spans="1:8" ht="12.75">
      <c r="A789" s="11"/>
      <c r="E789" s="12"/>
      <c r="F789" s="12"/>
      <c r="H789" s="12"/>
    </row>
    <row r="790" spans="1:8" ht="12.75">
      <c r="A790" s="11"/>
      <c r="E790" s="12"/>
      <c r="F790" s="12"/>
      <c r="H790" s="12"/>
    </row>
    <row r="791" spans="1:8" ht="12.75">
      <c r="A791" s="11"/>
      <c r="E791" s="12"/>
      <c r="F791" s="12"/>
      <c r="H791" s="12"/>
    </row>
    <row r="792" spans="1:8" ht="12.75">
      <c r="A792" s="11"/>
      <c r="E792" s="12"/>
      <c r="F792" s="12"/>
      <c r="H792" s="12"/>
    </row>
    <row r="793" spans="1:8" ht="12.75">
      <c r="A793" s="11"/>
      <c r="E793" s="12"/>
      <c r="F793" s="12"/>
      <c r="H793" s="12"/>
    </row>
    <row r="794" spans="1:8" ht="12.75">
      <c r="A794" s="11"/>
      <c r="E794" s="12"/>
      <c r="F794" s="12"/>
      <c r="H794" s="12"/>
    </row>
    <row r="795" spans="1:8" ht="12.75">
      <c r="A795" s="11"/>
      <c r="E795" s="12"/>
      <c r="F795" s="12"/>
      <c r="H795" s="12"/>
    </row>
    <row r="796" spans="1:8" ht="12.75">
      <c r="A796" s="11"/>
      <c r="E796" s="12"/>
      <c r="F796" s="12"/>
      <c r="H796" s="12"/>
    </row>
    <row r="797" spans="1:8" ht="12.75">
      <c r="A797" s="11"/>
      <c r="E797" s="12"/>
      <c r="F797" s="12"/>
      <c r="H797" s="12"/>
    </row>
    <row r="798" spans="1:8" ht="12.75">
      <c r="A798" s="11"/>
      <c r="E798" s="12"/>
      <c r="F798" s="12"/>
      <c r="H798" s="12"/>
    </row>
    <row r="799" spans="1:8" ht="12.75">
      <c r="A799" s="11"/>
      <c r="E799" s="12"/>
      <c r="F799" s="12"/>
      <c r="H799" s="12"/>
    </row>
    <row r="800" spans="1:8" ht="12.75">
      <c r="A800" s="11"/>
      <c r="E800" s="12"/>
      <c r="F800" s="12"/>
      <c r="H800" s="12"/>
    </row>
    <row r="801" spans="1:8" ht="12.75">
      <c r="A801" s="11"/>
      <c r="E801" s="12"/>
      <c r="F801" s="12"/>
      <c r="H801" s="12"/>
    </row>
    <row r="802" spans="1:8" ht="12.75">
      <c r="A802" s="11"/>
      <c r="E802" s="12"/>
      <c r="F802" s="12"/>
      <c r="H802" s="12"/>
    </row>
    <row r="803" spans="1:8" ht="12.75">
      <c r="A803" s="11"/>
      <c r="E803" s="12"/>
      <c r="F803" s="12"/>
      <c r="H803" s="12"/>
    </row>
    <row r="804" spans="1:8" ht="12.75">
      <c r="A804" s="11"/>
      <c r="E804" s="12"/>
      <c r="F804" s="12"/>
      <c r="H804" s="12"/>
    </row>
    <row r="805" spans="1:8" ht="12.75">
      <c r="A805" s="11"/>
      <c r="E805" s="12"/>
      <c r="F805" s="12"/>
      <c r="H805" s="12"/>
    </row>
    <row r="806" spans="1:8" ht="12.75">
      <c r="A806" s="11"/>
      <c r="E806" s="12"/>
      <c r="F806" s="12"/>
      <c r="H806" s="12"/>
    </row>
    <row r="807" spans="1:8" ht="12.75">
      <c r="A807" s="11"/>
      <c r="E807" s="12"/>
      <c r="F807" s="12"/>
      <c r="H807" s="12"/>
    </row>
    <row r="808" spans="1:8" ht="12.75">
      <c r="A808" s="11"/>
      <c r="E808" s="12"/>
      <c r="F808" s="12"/>
      <c r="H808" s="12"/>
    </row>
    <row r="809" spans="1:8" ht="12.75">
      <c r="A809" s="11"/>
      <c r="E809" s="12"/>
      <c r="F809" s="12"/>
      <c r="H809" s="12"/>
    </row>
    <row r="810" spans="1:8" ht="12.75">
      <c r="A810" s="11"/>
      <c r="E810" s="12"/>
      <c r="F810" s="12"/>
      <c r="H810" s="12"/>
    </row>
    <row r="811" spans="1:8" ht="12.75">
      <c r="A811" s="11"/>
      <c r="E811" s="12"/>
      <c r="F811" s="12"/>
      <c r="H811" s="12"/>
    </row>
    <row r="812" spans="1:8" ht="12.75">
      <c r="A812" s="11"/>
      <c r="E812" s="12"/>
      <c r="F812" s="12"/>
      <c r="H812" s="12"/>
    </row>
    <row r="813" spans="1:8" ht="12.75">
      <c r="A813" s="11"/>
      <c r="E813" s="12"/>
      <c r="F813" s="12"/>
      <c r="H813" s="12"/>
    </row>
    <row r="814" spans="1:8" ht="12.75">
      <c r="A814" s="11"/>
      <c r="E814" s="12"/>
      <c r="F814" s="12"/>
      <c r="H814" s="12"/>
    </row>
    <row r="815" spans="1:8" ht="12.75">
      <c r="A815" s="11"/>
      <c r="E815" s="12"/>
      <c r="F815" s="12"/>
      <c r="H815" s="12"/>
    </row>
    <row r="816" spans="1:8" ht="12.75">
      <c r="A816" s="11"/>
      <c r="E816" s="12"/>
      <c r="F816" s="12"/>
      <c r="H816" s="12"/>
    </row>
    <row r="817" spans="1:8" ht="12.75">
      <c r="A817" s="11"/>
      <c r="E817" s="12"/>
      <c r="F817" s="12"/>
      <c r="H817" s="12"/>
    </row>
    <row r="818" spans="1:8" ht="12.75">
      <c r="A818" s="11"/>
      <c r="E818" s="12"/>
      <c r="F818" s="12"/>
      <c r="H818" s="12"/>
    </row>
    <row r="819" spans="1:8" ht="12.75">
      <c r="A819" s="11"/>
      <c r="E819" s="12"/>
      <c r="F819" s="12"/>
      <c r="H819" s="12"/>
    </row>
    <row r="820" spans="1:8" ht="12.75">
      <c r="A820" s="11"/>
      <c r="E820" s="12"/>
      <c r="F820" s="12"/>
      <c r="H820" s="12"/>
    </row>
    <row r="821" spans="1:8" ht="12.75">
      <c r="A821" s="11"/>
      <c r="E821" s="12"/>
      <c r="F821" s="12"/>
      <c r="H821" s="12"/>
    </row>
    <row r="822" spans="1:8" ht="12.75">
      <c r="A822" s="11"/>
      <c r="E822" s="12"/>
      <c r="F822" s="12"/>
      <c r="H822" s="12"/>
    </row>
    <row r="823" spans="1:8" ht="12.75">
      <c r="A823" s="11"/>
      <c r="E823" s="12"/>
      <c r="F823" s="12"/>
      <c r="H823" s="12"/>
    </row>
    <row r="824" spans="1:8" ht="12.75">
      <c r="A824" s="11"/>
      <c r="E824" s="12"/>
      <c r="F824" s="12"/>
      <c r="H824" s="12"/>
    </row>
    <row r="825" spans="1:8" ht="12.75">
      <c r="A825" s="11"/>
      <c r="E825" s="12"/>
      <c r="F825" s="12"/>
      <c r="H825" s="12"/>
    </row>
    <row r="826" spans="1:8" ht="12.75">
      <c r="A826" s="11"/>
      <c r="E826" s="12"/>
      <c r="F826" s="12"/>
      <c r="H826" s="12"/>
    </row>
    <row r="827" spans="1:8" ht="12.75">
      <c r="A827" s="11"/>
      <c r="E827" s="12"/>
      <c r="F827" s="12"/>
      <c r="H827" s="12"/>
    </row>
    <row r="828" spans="1:8" ht="12.75">
      <c r="A828" s="11"/>
      <c r="E828" s="12"/>
      <c r="F828" s="12"/>
      <c r="H828" s="12"/>
    </row>
    <row r="829" spans="1:8" ht="12.75">
      <c r="A829" s="11"/>
      <c r="E829" s="12"/>
      <c r="F829" s="12"/>
      <c r="H829" s="12"/>
    </row>
    <row r="830" spans="1:8" ht="12.75">
      <c r="A830" s="11"/>
      <c r="E830" s="12"/>
      <c r="F830" s="12"/>
      <c r="H830" s="12"/>
    </row>
    <row r="831" spans="1:8" ht="12.75">
      <c r="A831" s="11"/>
      <c r="E831" s="12"/>
      <c r="F831" s="12"/>
      <c r="H831" s="12"/>
    </row>
    <row r="832" spans="1:8" ht="12.75">
      <c r="A832" s="11"/>
      <c r="E832" s="12"/>
      <c r="F832" s="12"/>
      <c r="H832" s="12"/>
    </row>
    <row r="833" spans="1:8" ht="12.75">
      <c r="A833" s="11"/>
      <c r="E833" s="12"/>
      <c r="F833" s="12"/>
      <c r="H833" s="12"/>
    </row>
    <row r="834" spans="1:8" ht="12.75">
      <c r="A834" s="11"/>
      <c r="E834" s="12"/>
      <c r="F834" s="12"/>
      <c r="H834" s="12"/>
    </row>
    <row r="835" spans="1:8" ht="12.75">
      <c r="A835" s="11"/>
      <c r="E835" s="12"/>
      <c r="F835" s="12"/>
      <c r="H835" s="12"/>
    </row>
    <row r="836" spans="1:8" ht="12.75">
      <c r="A836" s="11"/>
      <c r="E836" s="12"/>
      <c r="F836" s="12"/>
      <c r="H836" s="12"/>
    </row>
    <row r="837" spans="1:8" ht="12.75">
      <c r="A837" s="11"/>
      <c r="E837" s="12"/>
      <c r="F837" s="12"/>
      <c r="H837" s="12"/>
    </row>
    <row r="838" spans="1:8" ht="12.75">
      <c r="A838" s="11"/>
      <c r="E838" s="12"/>
      <c r="F838" s="12"/>
      <c r="H838" s="12"/>
    </row>
    <row r="839" spans="1:8" ht="12.75">
      <c r="A839" s="11"/>
      <c r="E839" s="12"/>
      <c r="F839" s="12"/>
      <c r="H839" s="12"/>
    </row>
    <row r="840" spans="1:8" ht="12.75">
      <c r="A840" s="11"/>
      <c r="E840" s="12"/>
      <c r="F840" s="12"/>
      <c r="H840" s="12"/>
    </row>
    <row r="841" spans="1:8" ht="12.75">
      <c r="A841" s="11"/>
      <c r="E841" s="12"/>
      <c r="F841" s="12"/>
      <c r="H841" s="12"/>
    </row>
    <row r="842" spans="1:8" ht="12.75">
      <c r="A842" s="11"/>
      <c r="E842" s="12"/>
      <c r="F842" s="12"/>
      <c r="H842" s="12"/>
    </row>
    <row r="843" spans="1:8" ht="12.75">
      <c r="A843" s="11"/>
      <c r="E843" s="12"/>
      <c r="F843" s="12"/>
      <c r="H843" s="12"/>
    </row>
    <row r="844" spans="1:8" ht="12.75">
      <c r="A844" s="11"/>
      <c r="E844" s="12"/>
      <c r="F844" s="12"/>
      <c r="H844" s="12"/>
    </row>
    <row r="845" spans="1:8" ht="12.75">
      <c r="A845" s="11"/>
      <c r="E845" s="12"/>
      <c r="F845" s="12"/>
      <c r="H845" s="12"/>
    </row>
    <row r="846" spans="1:8" ht="12.75">
      <c r="A846" s="11"/>
      <c r="E846" s="12"/>
      <c r="F846" s="12"/>
      <c r="H846" s="12"/>
    </row>
    <row r="847" spans="1:8" ht="12.75">
      <c r="A847" s="11"/>
      <c r="E847" s="12"/>
      <c r="F847" s="12"/>
      <c r="H847" s="12"/>
    </row>
    <row r="848" spans="1:8" ht="12.75">
      <c r="A848" s="11"/>
      <c r="E848" s="12"/>
      <c r="F848" s="12"/>
      <c r="H848" s="12"/>
    </row>
    <row r="849" spans="1:8" ht="12.75">
      <c r="A849" s="11"/>
      <c r="E849" s="12"/>
      <c r="F849" s="12"/>
      <c r="H849" s="12"/>
    </row>
    <row r="850" spans="1:8" ht="12.75">
      <c r="A850" s="11"/>
      <c r="E850" s="12"/>
      <c r="F850" s="12"/>
      <c r="H850" s="12"/>
    </row>
    <row r="851" spans="1:8" ht="12.75">
      <c r="A851" s="11"/>
      <c r="E851" s="12"/>
      <c r="F851" s="12"/>
      <c r="H851" s="12"/>
    </row>
    <row r="852" spans="1:8" ht="12.75">
      <c r="A852" s="11"/>
      <c r="E852" s="12"/>
      <c r="F852" s="12"/>
      <c r="H852" s="12"/>
    </row>
    <row r="853" spans="1:8" ht="12.75">
      <c r="A853" s="11"/>
      <c r="E853" s="12"/>
      <c r="F853" s="12"/>
      <c r="H853" s="12"/>
    </row>
    <row r="854" spans="1:8" ht="12.75">
      <c r="A854" s="11"/>
      <c r="E854" s="12"/>
      <c r="F854" s="12"/>
      <c r="H854" s="12"/>
    </row>
    <row r="855" spans="1:8" ht="12.75">
      <c r="A855" s="11"/>
      <c r="E855" s="12"/>
      <c r="F855" s="12"/>
      <c r="H855" s="12"/>
    </row>
    <row r="856" spans="1:8" ht="12.75">
      <c r="A856" s="11"/>
      <c r="E856" s="12"/>
      <c r="F856" s="12"/>
      <c r="H856" s="12"/>
    </row>
    <row r="857" spans="1:8" ht="12.75">
      <c r="A857" s="11"/>
      <c r="E857" s="12"/>
      <c r="F857" s="12"/>
      <c r="H857" s="12"/>
    </row>
    <row r="858" spans="1:8" ht="12.75">
      <c r="A858" s="11"/>
      <c r="E858" s="12"/>
      <c r="F858" s="12"/>
      <c r="H858" s="12"/>
    </row>
    <row r="859" spans="1:8" ht="12.75">
      <c r="A859" s="11"/>
      <c r="E859" s="12"/>
      <c r="F859" s="12"/>
      <c r="H859" s="12"/>
    </row>
    <row r="860" spans="1:8" ht="12.75">
      <c r="A860" s="11"/>
      <c r="E860" s="12"/>
      <c r="F860" s="12"/>
      <c r="H860" s="12"/>
    </row>
    <row r="861" spans="1:8" ht="12.75">
      <c r="A861" s="11"/>
      <c r="E861" s="12"/>
      <c r="F861" s="12"/>
      <c r="H861" s="12"/>
    </row>
    <row r="862" spans="1:8" ht="12.75">
      <c r="A862" s="11"/>
      <c r="E862" s="12"/>
      <c r="F862" s="12"/>
      <c r="H862" s="12"/>
    </row>
    <row r="863" spans="1:8" ht="12.75">
      <c r="A863" s="11"/>
      <c r="E863" s="12"/>
      <c r="F863" s="12"/>
      <c r="H863" s="12"/>
    </row>
    <row r="864" spans="1:8" ht="12.75">
      <c r="A864" s="11"/>
      <c r="E864" s="12"/>
      <c r="F864" s="12"/>
      <c r="H864" s="12"/>
    </row>
    <row r="865" spans="1:8" ht="12.75">
      <c r="A865" s="11"/>
      <c r="E865" s="12"/>
      <c r="F865" s="12"/>
      <c r="H865" s="12"/>
    </row>
    <row r="866" spans="1:8" ht="12.75">
      <c r="A866" s="11"/>
      <c r="E866" s="12"/>
      <c r="F866" s="12"/>
      <c r="H866" s="12"/>
    </row>
    <row r="867" spans="1:8" ht="12.75">
      <c r="A867" s="11"/>
      <c r="E867" s="12"/>
      <c r="F867" s="12"/>
      <c r="H867" s="12"/>
    </row>
    <row r="868" spans="1:8" ht="12.75">
      <c r="A868" s="11"/>
      <c r="E868" s="12"/>
      <c r="F868" s="12"/>
      <c r="H868" s="12"/>
    </row>
    <row r="869" spans="1:8" ht="12.75">
      <c r="A869" s="11"/>
      <c r="E869" s="12"/>
      <c r="F869" s="12"/>
      <c r="H869" s="12"/>
    </row>
    <row r="870" spans="1:8" ht="12.75">
      <c r="A870" s="11"/>
      <c r="E870" s="12"/>
      <c r="F870" s="12"/>
      <c r="H870" s="12"/>
    </row>
    <row r="871" spans="1:8" ht="12.75">
      <c r="A871" s="11"/>
      <c r="E871" s="12"/>
      <c r="F871" s="12"/>
      <c r="H871" s="12"/>
    </row>
    <row r="872" spans="1:8" ht="12.75">
      <c r="A872" s="11"/>
      <c r="E872" s="12"/>
      <c r="F872" s="12"/>
      <c r="H872" s="12"/>
    </row>
    <row r="873" spans="1:8" ht="12.75">
      <c r="A873" s="11"/>
      <c r="E873" s="12"/>
      <c r="F873" s="12"/>
      <c r="H873" s="12"/>
    </row>
    <row r="874" spans="1:8" ht="12.75">
      <c r="A874" s="11"/>
      <c r="E874" s="12"/>
      <c r="F874" s="12"/>
      <c r="H874" s="12"/>
    </row>
    <row r="875" spans="1:8" ht="12.75">
      <c r="A875" s="11"/>
      <c r="E875" s="12"/>
      <c r="F875" s="12"/>
      <c r="H875" s="12"/>
    </row>
    <row r="876" spans="1:8" ht="12.75">
      <c r="A876" s="11"/>
      <c r="E876" s="12"/>
      <c r="F876" s="12"/>
      <c r="H876" s="12"/>
    </row>
    <row r="877" spans="1:8" ht="12.75">
      <c r="A877" s="11"/>
      <c r="E877" s="12"/>
      <c r="F877" s="12"/>
      <c r="H877" s="12"/>
    </row>
    <row r="878" spans="1:8" ht="12.75">
      <c r="A878" s="11"/>
      <c r="E878" s="12"/>
      <c r="F878" s="12"/>
      <c r="H878" s="12"/>
    </row>
    <row r="879" spans="1:8" ht="12.75">
      <c r="A879" s="11"/>
      <c r="E879" s="12"/>
      <c r="F879" s="12"/>
      <c r="H879" s="12"/>
    </row>
    <row r="880" spans="1:8" ht="12.75">
      <c r="A880" s="11"/>
      <c r="E880" s="12"/>
      <c r="F880" s="12"/>
      <c r="H880" s="12"/>
    </row>
    <row r="881" spans="1:8" ht="12.75">
      <c r="A881" s="11"/>
      <c r="E881" s="12"/>
      <c r="F881" s="12"/>
      <c r="H881" s="12"/>
    </row>
    <row r="882" spans="1:8" ht="12.75">
      <c r="A882" s="11"/>
      <c r="E882" s="12"/>
      <c r="F882" s="12"/>
      <c r="H882" s="12"/>
    </row>
    <row r="883" spans="1:8" ht="12.75">
      <c r="A883" s="11"/>
      <c r="E883" s="12"/>
      <c r="F883" s="12"/>
      <c r="H883" s="12"/>
    </row>
    <row r="884" spans="1:8" ht="12.75">
      <c r="A884" s="11"/>
      <c r="E884" s="12"/>
      <c r="F884" s="12"/>
      <c r="H884" s="12"/>
    </row>
    <row r="885" spans="1:8" ht="12.75">
      <c r="A885" s="11"/>
      <c r="E885" s="12"/>
      <c r="F885" s="12"/>
      <c r="H885" s="12"/>
    </row>
    <row r="886" spans="1:8" ht="12.75">
      <c r="A886" s="11"/>
      <c r="E886" s="12"/>
      <c r="F886" s="12"/>
      <c r="H886" s="12"/>
    </row>
    <row r="887" spans="1:8" ht="12.75">
      <c r="A887" s="11"/>
      <c r="E887" s="12"/>
      <c r="F887" s="12"/>
      <c r="H887" s="12"/>
    </row>
    <row r="888" spans="1:8" ht="12.75">
      <c r="A888" s="11"/>
      <c r="E888" s="12"/>
      <c r="F888" s="12"/>
      <c r="H888" s="12"/>
    </row>
    <row r="889" spans="1:8" ht="12.75">
      <c r="A889" s="11"/>
      <c r="E889" s="12"/>
      <c r="F889" s="12"/>
      <c r="H889" s="12"/>
    </row>
    <row r="890" spans="1:8" ht="12.75">
      <c r="A890" s="11"/>
      <c r="E890" s="12"/>
      <c r="F890" s="12"/>
      <c r="H890" s="12"/>
    </row>
    <row r="891" spans="1:8" ht="12.75">
      <c r="A891" s="11"/>
      <c r="E891" s="12"/>
      <c r="F891" s="12"/>
      <c r="H891" s="12"/>
    </row>
    <row r="892" spans="1:8" ht="12.75">
      <c r="A892" s="11"/>
      <c r="E892" s="12"/>
      <c r="F892" s="12"/>
      <c r="H892" s="12"/>
    </row>
    <row r="893" spans="1:8" ht="12.75">
      <c r="A893" s="11"/>
      <c r="E893" s="12"/>
      <c r="F893" s="12"/>
      <c r="H893" s="12"/>
    </row>
    <row r="894" spans="1:8" ht="12.75">
      <c r="A894" s="11"/>
      <c r="E894" s="12"/>
      <c r="F894" s="12"/>
      <c r="H894" s="12"/>
    </row>
    <row r="895" spans="1:8" ht="12.75">
      <c r="A895" s="11"/>
      <c r="E895" s="12"/>
      <c r="F895" s="12"/>
      <c r="H895" s="12"/>
    </row>
    <row r="896" spans="1:8" ht="12.75">
      <c r="A896" s="11"/>
      <c r="E896" s="12"/>
      <c r="F896" s="12"/>
      <c r="H896" s="12"/>
    </row>
    <row r="897" spans="1:8" ht="12.75">
      <c r="A897" s="11"/>
      <c r="E897" s="12"/>
      <c r="F897" s="12"/>
      <c r="H897" s="12"/>
    </row>
    <row r="898" spans="1:8" ht="12.75">
      <c r="A898" s="11"/>
      <c r="E898" s="12"/>
      <c r="F898" s="12"/>
      <c r="H898" s="12"/>
    </row>
    <row r="899" spans="1:8" ht="12.75">
      <c r="A899" s="11"/>
      <c r="E899" s="12"/>
      <c r="F899" s="12"/>
      <c r="H899" s="12"/>
    </row>
    <row r="900" spans="1:8" ht="12.75">
      <c r="A900" s="11"/>
      <c r="E900" s="12"/>
      <c r="F900" s="12"/>
      <c r="H900" s="12"/>
    </row>
    <row r="901" spans="1:8" ht="12.75">
      <c r="A901" s="11"/>
      <c r="E901" s="12"/>
      <c r="F901" s="12"/>
      <c r="H901" s="12"/>
    </row>
    <row r="902" spans="1:8" ht="12.75">
      <c r="A902" s="11"/>
      <c r="E902" s="12"/>
      <c r="F902" s="12"/>
      <c r="H902" s="12"/>
    </row>
    <row r="903" spans="1:8" ht="12.75">
      <c r="A903" s="11"/>
      <c r="E903" s="12"/>
      <c r="F903" s="12"/>
      <c r="H903" s="12"/>
    </row>
    <row r="904" spans="1:8" ht="12.75">
      <c r="A904" s="11"/>
      <c r="E904" s="12"/>
      <c r="F904" s="12"/>
      <c r="H904" s="12"/>
    </row>
    <row r="905" spans="1:8" ht="12.75">
      <c r="A905" s="11"/>
      <c r="E905" s="12"/>
      <c r="F905" s="12"/>
      <c r="H905" s="12"/>
    </row>
    <row r="906" spans="1:8" ht="12.75">
      <c r="A906" s="11"/>
      <c r="E906" s="12"/>
      <c r="F906" s="12"/>
      <c r="H906" s="12"/>
    </row>
    <row r="907" spans="1:8" ht="12.75">
      <c r="A907" s="11"/>
      <c r="E907" s="12"/>
      <c r="F907" s="12"/>
      <c r="H907" s="12"/>
    </row>
    <row r="908" spans="1:8" ht="12.75">
      <c r="A908" s="11"/>
      <c r="E908" s="12"/>
      <c r="F908" s="12"/>
      <c r="H908" s="12"/>
    </row>
    <row r="909" spans="1:8" ht="12.75">
      <c r="A909" s="11"/>
      <c r="E909" s="12"/>
      <c r="F909" s="12"/>
      <c r="H909" s="12"/>
    </row>
    <row r="910" spans="1:8" ht="12.75">
      <c r="A910" s="11"/>
      <c r="E910" s="12"/>
      <c r="F910" s="12"/>
      <c r="H910" s="12"/>
    </row>
    <row r="911" spans="1:8" ht="12.75">
      <c r="A911" s="11"/>
      <c r="E911" s="12"/>
      <c r="F911" s="12"/>
      <c r="H911" s="12"/>
    </row>
    <row r="912" spans="1:8" ht="12.75">
      <c r="A912" s="11"/>
      <c r="E912" s="12"/>
      <c r="F912" s="12"/>
      <c r="H912" s="12"/>
    </row>
    <row r="913" spans="1:8" ht="12.75">
      <c r="A913" s="11"/>
      <c r="E913" s="12"/>
      <c r="F913" s="12"/>
      <c r="H913" s="12"/>
    </row>
    <row r="914" spans="1:8" ht="12.75">
      <c r="A914" s="11"/>
      <c r="E914" s="12"/>
      <c r="F914" s="12"/>
      <c r="H914" s="12"/>
    </row>
    <row r="915" spans="1:8" ht="12.75">
      <c r="A915" s="11"/>
      <c r="E915" s="12"/>
      <c r="F915" s="12"/>
      <c r="H915" s="12"/>
    </row>
    <row r="916" spans="1:8" ht="12.75">
      <c r="A916" s="11"/>
      <c r="E916" s="12"/>
      <c r="F916" s="12"/>
      <c r="H916" s="12"/>
    </row>
    <row r="917" spans="1:8" ht="12.75">
      <c r="A917" s="11"/>
      <c r="E917" s="12"/>
      <c r="F917" s="12"/>
      <c r="H917" s="12"/>
    </row>
    <row r="918" spans="1:8" ht="12.75">
      <c r="A918" s="11"/>
      <c r="E918" s="12"/>
      <c r="F918" s="12"/>
      <c r="H918" s="12"/>
    </row>
    <row r="919" spans="1:8" ht="12.75">
      <c r="A919" s="11"/>
      <c r="E919" s="12"/>
      <c r="F919" s="12"/>
      <c r="H919" s="12"/>
    </row>
    <row r="920" spans="1:8" ht="12.75">
      <c r="A920" s="11"/>
      <c r="E920" s="12"/>
      <c r="F920" s="12"/>
      <c r="H920" s="12"/>
    </row>
    <row r="921" spans="1:8" ht="12.75">
      <c r="A921" s="11"/>
      <c r="E921" s="12"/>
      <c r="F921" s="12"/>
      <c r="H921" s="12"/>
    </row>
    <row r="922" spans="1:8" ht="12.75">
      <c r="A922" s="11"/>
      <c r="E922" s="12"/>
      <c r="F922" s="12"/>
      <c r="H922" s="12"/>
    </row>
    <row r="923" spans="1:8" ht="12.75">
      <c r="A923" s="11"/>
      <c r="E923" s="12"/>
      <c r="F923" s="12"/>
      <c r="H923" s="12"/>
    </row>
    <row r="924" spans="1:8" ht="12.75">
      <c r="A924" s="11"/>
      <c r="E924" s="12"/>
      <c r="F924" s="12"/>
      <c r="H924" s="12"/>
    </row>
    <row r="925" spans="1:8" ht="12.75">
      <c r="A925" s="11"/>
      <c r="E925" s="12"/>
      <c r="F925" s="12"/>
      <c r="H925" s="12"/>
    </row>
    <row r="926" spans="1:8" ht="12.75">
      <c r="A926" s="11"/>
      <c r="E926" s="12"/>
      <c r="F926" s="12"/>
      <c r="H926" s="12"/>
    </row>
    <row r="927" spans="1:8" ht="12.75">
      <c r="A927" s="11"/>
      <c r="E927" s="12"/>
      <c r="F927" s="12"/>
      <c r="H927" s="12"/>
    </row>
    <row r="928" spans="1:8" ht="12.75">
      <c r="A928" s="11"/>
      <c r="E928" s="12"/>
      <c r="F928" s="12"/>
      <c r="H928" s="12"/>
    </row>
    <row r="929" spans="1:8" ht="12.75">
      <c r="A929" s="11"/>
      <c r="E929" s="12"/>
      <c r="F929" s="12"/>
      <c r="H929" s="12"/>
    </row>
    <row r="930" spans="1:8" ht="12.75">
      <c r="A930" s="11"/>
      <c r="E930" s="12"/>
      <c r="F930" s="12"/>
      <c r="H930" s="12"/>
    </row>
    <row r="931" spans="1:8" ht="12.75">
      <c r="A931" s="11"/>
      <c r="E931" s="12"/>
      <c r="F931" s="12"/>
      <c r="H931" s="12"/>
    </row>
    <row r="932" spans="1:8" ht="12.75">
      <c r="A932" s="11"/>
      <c r="E932" s="12"/>
      <c r="F932" s="12"/>
      <c r="H932" s="12"/>
    </row>
    <row r="933" spans="1:8" ht="12.75">
      <c r="A933" s="11"/>
      <c r="E933" s="12"/>
      <c r="F933" s="12"/>
      <c r="H933" s="12"/>
    </row>
    <row r="934" spans="1:8" ht="12.75">
      <c r="A934" s="11"/>
      <c r="E934" s="12"/>
      <c r="F934" s="12"/>
      <c r="H934" s="12"/>
    </row>
    <row r="935" spans="1:8" ht="12.75">
      <c r="A935" s="11"/>
      <c r="E935" s="12"/>
      <c r="F935" s="12"/>
      <c r="H935" s="12"/>
    </row>
    <row r="936" spans="1:8" ht="12.75">
      <c r="A936" s="11"/>
      <c r="E936" s="12"/>
      <c r="F936" s="12"/>
      <c r="H936" s="12"/>
    </row>
    <row r="937" spans="1:8" ht="12.75">
      <c r="A937" s="11"/>
      <c r="E937" s="12"/>
      <c r="F937" s="12"/>
      <c r="H937" s="12"/>
    </row>
    <row r="938" spans="1:8" ht="12.75">
      <c r="A938" s="11"/>
      <c r="E938" s="12"/>
      <c r="F938" s="12"/>
      <c r="H938" s="12"/>
    </row>
    <row r="939" spans="1:8" ht="12.75">
      <c r="A939" s="11"/>
      <c r="E939" s="12"/>
      <c r="F939" s="12"/>
      <c r="H939" s="12"/>
    </row>
    <row r="940" spans="1:8" ht="12.75">
      <c r="A940" s="11"/>
      <c r="E940" s="12"/>
      <c r="F940" s="12"/>
      <c r="H940" s="12"/>
    </row>
    <row r="941" spans="1:8" ht="12.75">
      <c r="A941" s="11"/>
      <c r="E941" s="12"/>
      <c r="F941" s="12"/>
      <c r="H941" s="12"/>
    </row>
    <row r="942" spans="1:8" ht="12.75">
      <c r="A942" s="11"/>
      <c r="E942" s="12"/>
      <c r="F942" s="12"/>
      <c r="H942" s="12"/>
    </row>
    <row r="943" spans="1:8" ht="12.75">
      <c r="A943" s="11"/>
      <c r="E943" s="12"/>
      <c r="F943" s="12"/>
      <c r="H943" s="12"/>
    </row>
    <row r="944" spans="1:8" ht="12.75">
      <c r="A944" s="11"/>
      <c r="E944" s="12"/>
      <c r="F944" s="12"/>
      <c r="H944" s="12"/>
    </row>
    <row r="945" spans="1:8" ht="12.75">
      <c r="A945" s="11"/>
      <c r="E945" s="12"/>
      <c r="F945" s="12"/>
      <c r="H945" s="12"/>
    </row>
    <row r="946" spans="1:8" ht="12.75">
      <c r="A946" s="11"/>
      <c r="E946" s="12"/>
      <c r="F946" s="12"/>
      <c r="H946" s="12"/>
    </row>
    <row r="947" spans="1:8" ht="12.75">
      <c r="A947" s="11"/>
      <c r="E947" s="12"/>
      <c r="F947" s="12"/>
      <c r="H947" s="12"/>
    </row>
    <row r="948" spans="1:8" ht="12.75">
      <c r="A948" s="11"/>
      <c r="E948" s="12"/>
      <c r="F948" s="12"/>
      <c r="H948" s="12"/>
    </row>
    <row r="949" spans="1:8" ht="12.75">
      <c r="A949" s="11"/>
      <c r="E949" s="12"/>
      <c r="F949" s="12"/>
      <c r="H949" s="12"/>
    </row>
    <row r="950" spans="1:8" ht="12.75">
      <c r="A950" s="11"/>
      <c r="E950" s="12"/>
      <c r="F950" s="12"/>
      <c r="H950" s="12"/>
    </row>
    <row r="951" spans="1:8" ht="12.75">
      <c r="A951" s="11"/>
      <c r="E951" s="12"/>
      <c r="F951" s="12"/>
      <c r="H951" s="12"/>
    </row>
    <row r="952" spans="1:8" ht="12.75">
      <c r="A952" s="11"/>
      <c r="E952" s="12"/>
      <c r="F952" s="12"/>
      <c r="H952" s="12"/>
    </row>
    <row r="953" spans="1:8" ht="12.75">
      <c r="A953" s="11"/>
      <c r="E953" s="12"/>
      <c r="F953" s="12"/>
      <c r="H953" s="12"/>
    </row>
    <row r="954" spans="1:8" ht="12.75">
      <c r="A954" s="11"/>
      <c r="E954" s="12"/>
      <c r="F954" s="12"/>
      <c r="H954" s="12"/>
    </row>
    <row r="955" spans="1:8" ht="12.75">
      <c r="A955" s="11"/>
      <c r="E955" s="12"/>
      <c r="F955" s="12"/>
      <c r="H955" s="12"/>
    </row>
    <row r="956" spans="1:8" ht="12.75">
      <c r="A956" s="11"/>
      <c r="E956" s="12"/>
      <c r="F956" s="12"/>
      <c r="H956" s="12"/>
    </row>
    <row r="957" spans="1:8" ht="12.75">
      <c r="A957" s="11"/>
      <c r="E957" s="12"/>
      <c r="F957" s="12"/>
      <c r="H957" s="12"/>
    </row>
    <row r="958" spans="1:8" ht="12.75">
      <c r="A958" s="11"/>
      <c r="E958" s="12"/>
      <c r="F958" s="12"/>
      <c r="H958" s="12"/>
    </row>
    <row r="959" spans="1:8" ht="12.75">
      <c r="A959" s="11"/>
      <c r="E959" s="12"/>
      <c r="F959" s="12"/>
      <c r="H959" s="12"/>
    </row>
    <row r="960" spans="1:8" ht="12.75">
      <c r="A960" s="11"/>
      <c r="E960" s="12"/>
      <c r="F960" s="12"/>
      <c r="H960" s="12"/>
    </row>
    <row r="961" spans="1:8" ht="12.75">
      <c r="A961" s="11"/>
      <c r="E961" s="12"/>
      <c r="F961" s="12"/>
      <c r="H961" s="12"/>
    </row>
    <row r="962" spans="1:8" ht="12.75">
      <c r="A962" s="11"/>
      <c r="E962" s="12"/>
      <c r="F962" s="12"/>
      <c r="H962" s="12"/>
    </row>
    <row r="963" spans="1:8" ht="12.75">
      <c r="A963" s="11"/>
      <c r="E963" s="12"/>
      <c r="F963" s="12"/>
      <c r="H963" s="12"/>
    </row>
    <row r="964" spans="1:8" ht="12.75">
      <c r="A964" s="11"/>
      <c r="E964" s="12"/>
      <c r="F964" s="12"/>
      <c r="H964" s="12"/>
    </row>
    <row r="965" spans="1:8" ht="12.75">
      <c r="A965" s="11"/>
      <c r="E965" s="12"/>
      <c r="F965" s="12"/>
      <c r="H965" s="12"/>
    </row>
    <row r="966" spans="1:8" ht="12.75">
      <c r="A966" s="11"/>
      <c r="E966" s="12"/>
      <c r="F966" s="12"/>
      <c r="H966" s="12"/>
    </row>
    <row r="967" spans="1:8" ht="12.75">
      <c r="A967" s="11"/>
      <c r="E967" s="12"/>
      <c r="F967" s="12"/>
      <c r="H967" s="12"/>
    </row>
    <row r="968" spans="1:8" ht="12.75">
      <c r="A968" s="11"/>
      <c r="E968" s="12"/>
      <c r="F968" s="12"/>
      <c r="H968" s="12"/>
    </row>
    <row r="969" spans="1:8" ht="12.75">
      <c r="A969" s="11"/>
      <c r="E969" s="12"/>
      <c r="F969" s="12"/>
      <c r="H969" s="12"/>
    </row>
    <row r="970" spans="1:8" ht="12.75">
      <c r="A970" s="11"/>
      <c r="E970" s="12"/>
      <c r="F970" s="12"/>
      <c r="H970" s="12"/>
    </row>
    <row r="971" spans="1:8" ht="12.75">
      <c r="A971" s="11"/>
      <c r="E971" s="12"/>
      <c r="F971" s="12"/>
      <c r="H971" s="12"/>
    </row>
    <row r="972" spans="1:8" ht="12.75">
      <c r="A972" s="11"/>
      <c r="E972" s="12"/>
      <c r="F972" s="12"/>
      <c r="H972" s="12"/>
    </row>
    <row r="973" spans="1:8" ht="12.75">
      <c r="A973" s="11"/>
      <c r="E973" s="12"/>
      <c r="F973" s="12"/>
      <c r="H973" s="12"/>
    </row>
    <row r="974" spans="1:8" ht="12.75">
      <c r="A974" s="11"/>
      <c r="E974" s="12"/>
      <c r="F974" s="12"/>
      <c r="H974" s="12"/>
    </row>
    <row r="975" spans="1:8" ht="12.75">
      <c r="A975" s="11"/>
      <c r="E975" s="12"/>
      <c r="F975" s="12"/>
      <c r="H975" s="12"/>
    </row>
    <row r="976" spans="1:8" ht="12.75">
      <c r="A976" s="11"/>
      <c r="E976" s="12"/>
      <c r="F976" s="12"/>
      <c r="H976" s="12"/>
    </row>
    <row r="977" spans="1:8" ht="12.75">
      <c r="A977" s="11"/>
      <c r="E977" s="12"/>
      <c r="F977" s="12"/>
      <c r="H977" s="12"/>
    </row>
    <row r="978" spans="1:8" ht="12.75">
      <c r="A978" s="11"/>
      <c r="E978" s="12"/>
      <c r="F978" s="12"/>
      <c r="H978" s="12"/>
    </row>
    <row r="979" spans="1:8" ht="12.75">
      <c r="A979" s="11"/>
      <c r="E979" s="12"/>
      <c r="F979" s="12"/>
      <c r="H979" s="12"/>
    </row>
    <row r="980" spans="1:8" ht="12.75">
      <c r="A980" s="11"/>
      <c r="E980" s="12"/>
      <c r="F980" s="12"/>
      <c r="H980" s="12"/>
    </row>
    <row r="981" spans="1:8" ht="12.75">
      <c r="A981" s="11"/>
      <c r="E981" s="12"/>
      <c r="F981" s="12"/>
      <c r="H981" s="12"/>
    </row>
    <row r="982" spans="1:8" ht="12.75">
      <c r="A982" s="11"/>
      <c r="E982" s="12"/>
      <c r="F982" s="12"/>
      <c r="H982" s="12"/>
    </row>
    <row r="983" spans="1:8" ht="12.75">
      <c r="A983" s="11"/>
      <c r="E983" s="12"/>
      <c r="F983" s="12"/>
      <c r="H983" s="12"/>
    </row>
    <row r="984" spans="1:8" ht="12.75">
      <c r="A984" s="11"/>
      <c r="E984" s="12"/>
      <c r="F984" s="12"/>
      <c r="H984" s="12"/>
    </row>
    <row r="985" spans="1:8" ht="12.75">
      <c r="A985" s="11"/>
      <c r="E985" s="12"/>
      <c r="F985" s="12"/>
      <c r="H985" s="12"/>
    </row>
    <row r="986" spans="1:8" ht="12.75">
      <c r="A986" s="11"/>
      <c r="E986" s="12"/>
      <c r="F986" s="12"/>
      <c r="H986" s="12"/>
    </row>
    <row r="987" spans="1:8" ht="12.75">
      <c r="A987" s="11"/>
      <c r="E987" s="12"/>
      <c r="F987" s="12"/>
      <c r="H987" s="12"/>
    </row>
    <row r="988" spans="1:8" ht="12.75">
      <c r="A988" s="11"/>
      <c r="E988" s="12"/>
      <c r="F988" s="12"/>
      <c r="H988" s="12"/>
    </row>
    <row r="989" spans="1:8" ht="12.75">
      <c r="A989" s="11"/>
      <c r="E989" s="12"/>
      <c r="F989" s="12"/>
      <c r="H989" s="12"/>
    </row>
    <row r="990" spans="1:8" ht="12.75">
      <c r="A990" s="11"/>
      <c r="E990" s="12"/>
      <c r="F990" s="12"/>
      <c r="H990" s="12"/>
    </row>
    <row r="991" spans="1:8" ht="12.75">
      <c r="A991" s="11"/>
      <c r="E991" s="12"/>
      <c r="F991" s="12"/>
      <c r="H991" s="12"/>
    </row>
    <row r="992" spans="1:8" ht="12.75">
      <c r="A992" s="11"/>
      <c r="E992" s="12"/>
      <c r="F992" s="12"/>
      <c r="H992" s="12"/>
    </row>
    <row r="993" spans="1:8" ht="12.75">
      <c r="A993" s="11"/>
      <c r="E993" s="12"/>
      <c r="F993" s="12"/>
      <c r="H993" s="12"/>
    </row>
    <row r="994" spans="1:8" ht="12.75">
      <c r="A994" s="11"/>
      <c r="E994" s="12"/>
      <c r="F994" s="12"/>
      <c r="H994" s="12"/>
    </row>
    <row r="995" spans="1:8" ht="12.75">
      <c r="A995" s="11"/>
      <c r="E995" s="12"/>
      <c r="F995" s="12"/>
      <c r="H995" s="12"/>
    </row>
    <row r="996" spans="1:8" ht="12.75">
      <c r="A996" s="11"/>
      <c r="E996" s="12"/>
      <c r="F996" s="12"/>
      <c r="H996" s="12"/>
    </row>
    <row r="997" spans="1:8" ht="12.75">
      <c r="A997" s="11"/>
      <c r="E997" s="12"/>
      <c r="F997" s="12"/>
      <c r="H997" s="12"/>
    </row>
    <row r="998" spans="1:8" ht="12.75">
      <c r="A998" s="11"/>
      <c r="E998" s="12"/>
      <c r="F998" s="12"/>
      <c r="H998" s="12"/>
    </row>
    <row r="999" spans="1:8" ht="12.75">
      <c r="A999" s="11"/>
      <c r="E999" s="12"/>
      <c r="F999" s="12"/>
      <c r="H999" s="12"/>
    </row>
    <row r="1000" spans="1:8" ht="12.75">
      <c r="A1000" s="11"/>
      <c r="E1000" s="12"/>
      <c r="F1000" s="12"/>
      <c r="H1000" s="12"/>
    </row>
    <row r="1001" spans="1:8" ht="12.75">
      <c r="A1001" s="11"/>
      <c r="E1001" s="12"/>
      <c r="F1001" s="12"/>
      <c r="H1001" s="12"/>
    </row>
    <row r="1002" spans="1:8" ht="12.75">
      <c r="A1002" s="11"/>
      <c r="E1002" s="12"/>
      <c r="F1002" s="12"/>
      <c r="H1002" s="12"/>
    </row>
  </sheetData>
  <mergeCells count="8">
    <mergeCell ref="A1:H1"/>
    <mergeCell ref="C2:E2"/>
    <mergeCell ref="A504:H504"/>
    <mergeCell ref="A2:A3"/>
    <mergeCell ref="B2:B3"/>
    <mergeCell ref="F2:F3"/>
    <mergeCell ref="G2:G3"/>
    <mergeCell ref="H2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ColWidth="9.14062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ANDRES BONIFACIO NHS</vt:lpstr>
      <vt:lpstr>BANQUEROHAN NHS</vt:lpstr>
      <vt:lpstr>BURGOS NHS</vt:lpstr>
      <vt:lpstr>CADIZ VIEJO NHS</vt:lpstr>
      <vt:lpstr>CADUHAAN NHS</vt:lpstr>
      <vt:lpstr>CNHS-LUNA EXT HS</vt:lpstr>
      <vt:lpstr>CNHS-TAGBANON EXT HS</vt:lpstr>
      <vt:lpstr>DR. VFGMNHS</vt:lpstr>
      <vt:lpstr>DR. VFGMNHS-DAGA EXT HS</vt:lpstr>
      <vt:lpstr>JERUSALEM NHS</vt:lpstr>
      <vt:lpstr>MABINI NHS</vt:lpstr>
      <vt:lpstr>ALIMATOC FARM SCHOOL</vt:lpstr>
      <vt:lpstr>SPED HS</vt:lpstr>
      <vt:lpstr>SICABA NHS</vt:lpstr>
      <vt:lpstr>TIGLAWIGAN NHS</vt:lpstr>
      <vt:lpstr>TNHS-MAGSAYSAY EXT HS</vt:lpstr>
      <vt:lpstr>VILLACIN NHS</vt:lpstr>
      <vt:lpstr>VILLACIN NHS-SEWAHON EXT HS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XBACKUPX FILES</cp:lastModifiedBy>
  <dcterms:created xsi:type="dcterms:W3CDTF">2026-01-05T01:19:00Z</dcterms:created>
  <dcterms:modified xsi:type="dcterms:W3CDTF">2026-01-27T23:56:28Z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3549D572655443EDA846EAD857058664_13</vt:lpwstr>
  </property>
  <property fmtid="{D5CDD505-2E9C-101B-9397-08002B2CF9AE}" pid="3" name="KSOProductBuildVer">
    <vt:lpwstr>1033-12.2.0.23196</vt:lpwstr>
  </property>
</Properties>
</file>